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qar\OneDrive\Desktop\Portfolio\"/>
    </mc:Choice>
  </mc:AlternateContent>
  <xr:revisionPtr revIDLastSave="0" documentId="13_ncr:1_{9C7DB8F0-F8BF-4C79-BD4C-55D891E7FD1A}" xr6:coauthVersionLast="47" xr6:coauthVersionMax="47" xr10:uidLastSave="{00000000-0000-0000-0000-000000000000}"/>
  <bookViews>
    <workbookView xWindow="-108" yWindow="-108" windowWidth="23256" windowHeight="13896" tabRatio="878" activeTab="2" xr2:uid="{A96EABA1-F0E9-49C6-BBEA-81593B23CFD1}"/>
  </bookViews>
  <sheets>
    <sheet name="Financials&gt;" sheetId="4" r:id="rId1"/>
    <sheet name="Historical_FS" sheetId="3" r:id="rId2"/>
    <sheet name="Ratio Analysis" sheetId="6" r:id="rId3"/>
    <sheet name="Forecasting" sheetId="7" r:id="rId4"/>
    <sheet name="WACC" sheetId="8" r:id="rId5"/>
    <sheet name="Intrensic Growth" sheetId="13" r:id="rId6"/>
    <sheet name="DCF" sheetId="14" r:id="rId7"/>
    <sheet name="Data&gt;" sheetId="2" r:id="rId8"/>
    <sheet name="Data Room" sheetId="12" r:id="rId9"/>
    <sheet name="DataSheet" sheetId="1" r:id="rId10"/>
    <sheet name="BETA" sheetId="9" r:id="rId11"/>
    <sheet name="Beta- Comps" sheetId="10" r:id="rId12"/>
    <sheet name="Rm" sheetId="11" r:id="rId13"/>
    <sheet name="Cash Flow Statement " sheetId="5" r:id="rId14"/>
  </sheets>
  <definedNames>
    <definedName name="_xlnm._FilterDatabase" localSheetId="10" hidden="1">BETA!$B$6:$G$562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6" i="3" l="1"/>
  <c r="M9" i="3" l="1"/>
  <c r="C47" i="3"/>
  <c r="C33" i="3"/>
  <c r="D35" i="14"/>
  <c r="D33" i="14"/>
  <c r="D32" i="14"/>
  <c r="D22" i="14"/>
  <c r="D16" i="14"/>
  <c r="D21" i="14" s="1"/>
  <c r="F9" i="14"/>
  <c r="G9" i="14" s="1"/>
  <c r="H9" i="14" s="1"/>
  <c r="D14" i="14"/>
  <c r="D7" i="14"/>
  <c r="E7" i="14" s="1"/>
  <c r="F7" i="14" s="1"/>
  <c r="G7" i="14" s="1"/>
  <c r="H7" i="14" s="1"/>
  <c r="I7" i="14" s="1"/>
  <c r="D4" i="14"/>
  <c r="D6" i="14" s="1"/>
  <c r="D2" i="14"/>
  <c r="E2" i="14" s="1"/>
  <c r="F2" i="14" s="1"/>
  <c r="G2" i="14" s="1"/>
  <c r="H2" i="14" s="1"/>
  <c r="I2" i="14" s="1"/>
  <c r="I64" i="13"/>
  <c r="I63" i="13"/>
  <c r="H56" i="13"/>
  <c r="G56" i="13"/>
  <c r="F56" i="13"/>
  <c r="H45" i="13"/>
  <c r="H47" i="13" s="1"/>
  <c r="D42" i="13"/>
  <c r="H42" i="13"/>
  <c r="G42" i="13"/>
  <c r="F42" i="13"/>
  <c r="E42" i="13"/>
  <c r="H35" i="13"/>
  <c r="G35" i="13"/>
  <c r="G45" i="13" s="1"/>
  <c r="G47" i="13" s="1"/>
  <c r="F35" i="13"/>
  <c r="F45" i="13" s="1"/>
  <c r="F47" i="13" s="1"/>
  <c r="E35" i="13"/>
  <c r="E45" i="13" s="1"/>
  <c r="E47" i="13" s="1"/>
  <c r="D35" i="13"/>
  <c r="D45" i="13" s="1"/>
  <c r="D47" i="13" s="1"/>
  <c r="H31" i="13"/>
  <c r="G31" i="13"/>
  <c r="F31" i="13"/>
  <c r="E31" i="13"/>
  <c r="D31" i="13"/>
  <c r="H29" i="13"/>
  <c r="G29" i="13"/>
  <c r="F29" i="13"/>
  <c r="E29" i="13"/>
  <c r="D29" i="13"/>
  <c r="H28" i="13"/>
  <c r="G28" i="13"/>
  <c r="F28" i="13"/>
  <c r="E28" i="13"/>
  <c r="D28" i="13"/>
  <c r="H27" i="13"/>
  <c r="G27" i="13"/>
  <c r="F27" i="13"/>
  <c r="E27" i="13"/>
  <c r="D27" i="13"/>
  <c r="H26" i="13"/>
  <c r="G26" i="13"/>
  <c r="F26" i="13"/>
  <c r="E26" i="13"/>
  <c r="D26" i="13"/>
  <c r="H25" i="13"/>
  <c r="G25" i="13"/>
  <c r="F25" i="13"/>
  <c r="E25" i="13"/>
  <c r="D25" i="13"/>
  <c r="H24" i="13"/>
  <c r="G24" i="13"/>
  <c r="F24" i="13"/>
  <c r="E24" i="13"/>
  <c r="D24" i="13"/>
  <c r="H23" i="13"/>
  <c r="G23" i="13"/>
  <c r="F23" i="13"/>
  <c r="E23" i="13"/>
  <c r="D23" i="13"/>
  <c r="H22" i="13"/>
  <c r="G22" i="13"/>
  <c r="F22" i="13"/>
  <c r="E22" i="13"/>
  <c r="D22" i="13"/>
  <c r="H21" i="13"/>
  <c r="G21" i="13"/>
  <c r="F21" i="13"/>
  <c r="E21" i="13"/>
  <c r="D21" i="13"/>
  <c r="H15" i="13"/>
  <c r="G15" i="13"/>
  <c r="F15" i="13"/>
  <c r="E15" i="13"/>
  <c r="D15" i="13"/>
  <c r="H14" i="13"/>
  <c r="G14" i="13"/>
  <c r="F14" i="13"/>
  <c r="E14" i="13"/>
  <c r="D14" i="13"/>
  <c r="H13" i="13"/>
  <c r="G13" i="13"/>
  <c r="F13" i="13"/>
  <c r="E13" i="13"/>
  <c r="D13" i="13"/>
  <c r="H9" i="13"/>
  <c r="G9" i="13"/>
  <c r="F9" i="13"/>
  <c r="E9" i="13"/>
  <c r="H8" i="13"/>
  <c r="G8" i="13"/>
  <c r="F8" i="13"/>
  <c r="E8" i="13"/>
  <c r="H7" i="13"/>
  <c r="G7" i="13"/>
  <c r="F7" i="13"/>
  <c r="E7" i="13"/>
  <c r="D9" i="13"/>
  <c r="D8" i="13"/>
  <c r="D7" i="13"/>
  <c r="H6" i="13"/>
  <c r="G6" i="13"/>
  <c r="F6" i="13"/>
  <c r="E6" i="13"/>
  <c r="D6" i="13"/>
  <c r="H2" i="13"/>
  <c r="H40" i="13" s="1"/>
  <c r="G2" i="13"/>
  <c r="G40" i="13" s="1"/>
  <c r="F2" i="13"/>
  <c r="F40" i="13" s="1"/>
  <c r="E2" i="13"/>
  <c r="E40" i="13" s="1"/>
  <c r="E56" i="13" s="1"/>
  <c r="D2" i="13"/>
  <c r="D40" i="13" s="1"/>
  <c r="D56" i="13" s="1"/>
  <c r="B2" i="13"/>
  <c r="K39" i="8"/>
  <c r="K23" i="8"/>
  <c r="H7" i="11"/>
  <c r="H5" i="11"/>
  <c r="I9" i="14" l="1"/>
  <c r="I10" i="14" s="1"/>
  <c r="H10" i="14"/>
  <c r="F10" i="14"/>
  <c r="G10" i="14"/>
  <c r="E10" i="14"/>
  <c r="D8" i="14"/>
  <c r="E4" i="14"/>
  <c r="F4" i="14" s="1"/>
  <c r="D30" i="13"/>
  <c r="D32" i="13" s="1"/>
  <c r="F16" i="13"/>
  <c r="H16" i="13"/>
  <c r="G16" i="13"/>
  <c r="E16" i="13"/>
  <c r="H30" i="13"/>
  <c r="H32" i="13" s="1"/>
  <c r="H10" i="13"/>
  <c r="H18" i="13" s="1"/>
  <c r="D16" i="13"/>
  <c r="E30" i="13"/>
  <c r="E32" i="13" s="1"/>
  <c r="D10" i="13"/>
  <c r="D18" i="13" s="1"/>
  <c r="F30" i="13"/>
  <c r="F32" i="13" s="1"/>
  <c r="G30" i="13"/>
  <c r="G32" i="13" s="1"/>
  <c r="E10" i="13"/>
  <c r="F10" i="13"/>
  <c r="G10" i="13"/>
  <c r="K31" i="8"/>
  <c r="J11" i="8"/>
  <c r="J12" i="8"/>
  <c r="J13" i="8"/>
  <c r="J10" i="8"/>
  <c r="J16" i="8" s="1"/>
  <c r="G5" i="10"/>
  <c r="H11" i="8"/>
  <c r="H12" i="8"/>
  <c r="K12" i="8" s="1"/>
  <c r="H13" i="8"/>
  <c r="K13" i="8" s="1"/>
  <c r="H14" i="8"/>
  <c r="K14" i="8" s="1"/>
  <c r="H10" i="8"/>
  <c r="F11" i="8"/>
  <c r="F12" i="8"/>
  <c r="C31" i="8" s="1"/>
  <c r="F13" i="8"/>
  <c r="F14" i="8"/>
  <c r="F10" i="8"/>
  <c r="E11" i="8"/>
  <c r="I11" i="8" s="1"/>
  <c r="E12" i="8"/>
  <c r="I12" i="8" s="1"/>
  <c r="E13" i="8"/>
  <c r="E14" i="8"/>
  <c r="I14" i="8" s="1"/>
  <c r="E10" i="8"/>
  <c r="B14" i="8"/>
  <c r="B11" i="8"/>
  <c r="B12" i="8"/>
  <c r="B13" i="8"/>
  <c r="B10" i="8"/>
  <c r="E6" i="14" l="1"/>
  <c r="E8" i="14" s="1"/>
  <c r="E12" i="14" s="1"/>
  <c r="G4" i="14"/>
  <c r="F6" i="14"/>
  <c r="F8" i="14" s="1"/>
  <c r="F12" i="14" s="1"/>
  <c r="H34" i="13"/>
  <c r="H37" i="13" s="1"/>
  <c r="H59" i="13" s="1"/>
  <c r="E18" i="13"/>
  <c r="E43" i="13" s="1"/>
  <c r="E49" i="13" s="1"/>
  <c r="E51" i="13" s="1"/>
  <c r="D34" i="13"/>
  <c r="D37" i="13" s="1"/>
  <c r="G18" i="13"/>
  <c r="H43" i="13" s="1"/>
  <c r="H49" i="13" s="1"/>
  <c r="H51" i="13" s="1"/>
  <c r="H58" i="13" s="1"/>
  <c r="H61" i="13" s="1"/>
  <c r="F18" i="13"/>
  <c r="G34" i="13"/>
  <c r="G37" i="13" s="1"/>
  <c r="G59" i="13" s="1"/>
  <c r="K11" i="8"/>
  <c r="C30" i="8"/>
  <c r="I10" i="8"/>
  <c r="K10" i="8"/>
  <c r="K16" i="8" s="1"/>
  <c r="I13" i="8"/>
  <c r="H17" i="8"/>
  <c r="J17" i="8"/>
  <c r="I16" i="8"/>
  <c r="E30" i="8" s="1"/>
  <c r="I17" i="8"/>
  <c r="H16" i="8"/>
  <c r="K17" i="8"/>
  <c r="K29" i="8" s="1"/>
  <c r="H4" i="14" l="1"/>
  <c r="G6" i="14"/>
  <c r="G8" i="14" s="1"/>
  <c r="G12" i="14" s="1"/>
  <c r="I54" i="13"/>
  <c r="E58" i="13"/>
  <c r="G43" i="13"/>
  <c r="G49" i="13" s="1"/>
  <c r="G51" i="13" s="1"/>
  <c r="G58" i="13" s="1"/>
  <c r="G61" i="13" s="1"/>
  <c r="E34" i="13"/>
  <c r="E37" i="13" s="1"/>
  <c r="E59" i="13" s="1"/>
  <c r="F34" i="13"/>
  <c r="F37" i="13" s="1"/>
  <c r="F59" i="13" s="1"/>
  <c r="F43" i="13"/>
  <c r="F49" i="13" s="1"/>
  <c r="F51" i="13" s="1"/>
  <c r="F58" i="13" s="1"/>
  <c r="F61" i="13" s="1"/>
  <c r="K40" i="8"/>
  <c r="I4" i="14" l="1"/>
  <c r="I6" i="14" s="1"/>
  <c r="I8" i="14" s="1"/>
  <c r="H6" i="14"/>
  <c r="H8" i="14" s="1"/>
  <c r="H12" i="14" s="1"/>
  <c r="E61" i="13"/>
  <c r="I53" i="13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301" i="9"/>
  <c r="H302" i="9"/>
  <c r="H303" i="9"/>
  <c r="H304" i="9"/>
  <c r="H305" i="9"/>
  <c r="H306" i="9"/>
  <c r="H307" i="9"/>
  <c r="H308" i="9"/>
  <c r="H309" i="9"/>
  <c r="H310" i="9"/>
  <c r="H311" i="9"/>
  <c r="H312" i="9"/>
  <c r="H313" i="9"/>
  <c r="H314" i="9"/>
  <c r="H315" i="9"/>
  <c r="H316" i="9"/>
  <c r="H317" i="9"/>
  <c r="H318" i="9"/>
  <c r="H319" i="9"/>
  <c r="H320" i="9"/>
  <c r="H321" i="9"/>
  <c r="H322" i="9"/>
  <c r="H323" i="9"/>
  <c r="H324" i="9"/>
  <c r="H325" i="9"/>
  <c r="H326" i="9"/>
  <c r="H327" i="9"/>
  <c r="H328" i="9"/>
  <c r="H329" i="9"/>
  <c r="H330" i="9"/>
  <c r="H331" i="9"/>
  <c r="H332" i="9"/>
  <c r="H333" i="9"/>
  <c r="H334" i="9"/>
  <c r="H335" i="9"/>
  <c r="H336" i="9"/>
  <c r="H337" i="9"/>
  <c r="H338" i="9"/>
  <c r="H339" i="9"/>
  <c r="H340" i="9"/>
  <c r="H341" i="9"/>
  <c r="H342" i="9"/>
  <c r="H343" i="9"/>
  <c r="H344" i="9"/>
  <c r="H345" i="9"/>
  <c r="H346" i="9"/>
  <c r="H347" i="9"/>
  <c r="H348" i="9"/>
  <c r="H349" i="9"/>
  <c r="H350" i="9"/>
  <c r="H351" i="9"/>
  <c r="H352" i="9"/>
  <c r="H353" i="9"/>
  <c r="H354" i="9"/>
  <c r="H355" i="9"/>
  <c r="H356" i="9"/>
  <c r="H357" i="9"/>
  <c r="H358" i="9"/>
  <c r="H359" i="9"/>
  <c r="H360" i="9"/>
  <c r="H361" i="9"/>
  <c r="H362" i="9"/>
  <c r="H363" i="9"/>
  <c r="H364" i="9"/>
  <c r="H365" i="9"/>
  <c r="H366" i="9"/>
  <c r="H367" i="9"/>
  <c r="H368" i="9"/>
  <c r="H369" i="9"/>
  <c r="H370" i="9"/>
  <c r="H371" i="9"/>
  <c r="H372" i="9"/>
  <c r="H373" i="9"/>
  <c r="H374" i="9"/>
  <c r="H375" i="9"/>
  <c r="H376" i="9"/>
  <c r="H377" i="9"/>
  <c r="H378" i="9"/>
  <c r="H379" i="9"/>
  <c r="H380" i="9"/>
  <c r="H381" i="9"/>
  <c r="H382" i="9"/>
  <c r="H383" i="9"/>
  <c r="H384" i="9"/>
  <c r="H385" i="9"/>
  <c r="H386" i="9"/>
  <c r="H387" i="9"/>
  <c r="H388" i="9"/>
  <c r="H389" i="9"/>
  <c r="H390" i="9"/>
  <c r="H391" i="9"/>
  <c r="H392" i="9"/>
  <c r="H393" i="9"/>
  <c r="H394" i="9"/>
  <c r="H395" i="9"/>
  <c r="H396" i="9"/>
  <c r="H397" i="9"/>
  <c r="H398" i="9"/>
  <c r="H399" i="9"/>
  <c r="H400" i="9"/>
  <c r="H401" i="9"/>
  <c r="H402" i="9"/>
  <c r="H403" i="9"/>
  <c r="H404" i="9"/>
  <c r="H405" i="9"/>
  <c r="H406" i="9"/>
  <c r="H407" i="9"/>
  <c r="H408" i="9"/>
  <c r="H409" i="9"/>
  <c r="H410" i="9"/>
  <c r="H411" i="9"/>
  <c r="H412" i="9"/>
  <c r="H413" i="9"/>
  <c r="H414" i="9"/>
  <c r="H415" i="9"/>
  <c r="H416" i="9"/>
  <c r="H417" i="9"/>
  <c r="H418" i="9"/>
  <c r="H419" i="9"/>
  <c r="H420" i="9"/>
  <c r="H421" i="9"/>
  <c r="H422" i="9"/>
  <c r="H423" i="9"/>
  <c r="H424" i="9"/>
  <c r="H425" i="9"/>
  <c r="H426" i="9"/>
  <c r="H427" i="9"/>
  <c r="H428" i="9"/>
  <c r="H429" i="9"/>
  <c r="H430" i="9"/>
  <c r="H431" i="9"/>
  <c r="H432" i="9"/>
  <c r="H433" i="9"/>
  <c r="H434" i="9"/>
  <c r="H435" i="9"/>
  <c r="H436" i="9"/>
  <c r="H437" i="9"/>
  <c r="H438" i="9"/>
  <c r="H439" i="9"/>
  <c r="H440" i="9"/>
  <c r="H441" i="9"/>
  <c r="H442" i="9"/>
  <c r="H443" i="9"/>
  <c r="H444" i="9"/>
  <c r="H445" i="9"/>
  <c r="H446" i="9"/>
  <c r="H447" i="9"/>
  <c r="H448" i="9"/>
  <c r="H449" i="9"/>
  <c r="H450" i="9"/>
  <c r="H451" i="9"/>
  <c r="H452" i="9"/>
  <c r="H453" i="9"/>
  <c r="H454" i="9"/>
  <c r="H455" i="9"/>
  <c r="H456" i="9"/>
  <c r="H457" i="9"/>
  <c r="H458" i="9"/>
  <c r="H459" i="9"/>
  <c r="H460" i="9"/>
  <c r="H461" i="9"/>
  <c r="H462" i="9"/>
  <c r="H463" i="9"/>
  <c r="H464" i="9"/>
  <c r="H465" i="9"/>
  <c r="H466" i="9"/>
  <c r="H467" i="9"/>
  <c r="H468" i="9"/>
  <c r="H469" i="9"/>
  <c r="H470" i="9"/>
  <c r="H471" i="9"/>
  <c r="H472" i="9"/>
  <c r="H473" i="9"/>
  <c r="H474" i="9"/>
  <c r="H475" i="9"/>
  <c r="H476" i="9"/>
  <c r="H477" i="9"/>
  <c r="H478" i="9"/>
  <c r="H479" i="9"/>
  <c r="H480" i="9"/>
  <c r="H481" i="9"/>
  <c r="H482" i="9"/>
  <c r="H483" i="9"/>
  <c r="H484" i="9"/>
  <c r="H485" i="9"/>
  <c r="H486" i="9"/>
  <c r="H487" i="9"/>
  <c r="H488" i="9"/>
  <c r="H489" i="9"/>
  <c r="H490" i="9"/>
  <c r="H491" i="9"/>
  <c r="H492" i="9"/>
  <c r="H493" i="9"/>
  <c r="H494" i="9"/>
  <c r="H495" i="9"/>
  <c r="H496" i="9"/>
  <c r="H497" i="9"/>
  <c r="H498" i="9"/>
  <c r="H499" i="9"/>
  <c r="H500" i="9"/>
  <c r="H501" i="9"/>
  <c r="H502" i="9"/>
  <c r="H503" i="9"/>
  <c r="H504" i="9"/>
  <c r="H505" i="9"/>
  <c r="H506" i="9"/>
  <c r="H507" i="9"/>
  <c r="H508" i="9"/>
  <c r="H509" i="9"/>
  <c r="H510" i="9"/>
  <c r="H511" i="9"/>
  <c r="H512" i="9"/>
  <c r="H513" i="9"/>
  <c r="H514" i="9"/>
  <c r="H515" i="9"/>
  <c r="H516" i="9"/>
  <c r="H517" i="9"/>
  <c r="H518" i="9"/>
  <c r="H519" i="9"/>
  <c r="H520" i="9"/>
  <c r="H521" i="9"/>
  <c r="H522" i="9"/>
  <c r="H523" i="9"/>
  <c r="H524" i="9"/>
  <c r="H525" i="9"/>
  <c r="H526" i="9"/>
  <c r="H527" i="9"/>
  <c r="H528" i="9"/>
  <c r="H529" i="9"/>
  <c r="H530" i="9"/>
  <c r="H531" i="9"/>
  <c r="H532" i="9"/>
  <c r="H533" i="9"/>
  <c r="H534" i="9"/>
  <c r="H535" i="9"/>
  <c r="H536" i="9"/>
  <c r="H537" i="9"/>
  <c r="H538" i="9"/>
  <c r="H539" i="9"/>
  <c r="H540" i="9"/>
  <c r="H541" i="9"/>
  <c r="H542" i="9"/>
  <c r="H543" i="9"/>
  <c r="H544" i="9"/>
  <c r="H545" i="9"/>
  <c r="H546" i="9"/>
  <c r="H547" i="9"/>
  <c r="H548" i="9"/>
  <c r="H549" i="9"/>
  <c r="H550" i="9"/>
  <c r="H551" i="9"/>
  <c r="H552" i="9"/>
  <c r="H553" i="9"/>
  <c r="H554" i="9"/>
  <c r="H555" i="9"/>
  <c r="H556" i="9"/>
  <c r="H557" i="9"/>
  <c r="H558" i="9"/>
  <c r="H559" i="9"/>
  <c r="H560" i="9"/>
  <c r="H561" i="9"/>
  <c r="H562" i="9"/>
  <c r="H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8" i="9"/>
  <c r="E31" i="8"/>
  <c r="C32" i="8"/>
  <c r="D32" i="8" s="1"/>
  <c r="D20" i="14" l="1"/>
  <c r="D24" i="14" s="1"/>
  <c r="D29" i="14" s="1"/>
  <c r="I12" i="14"/>
  <c r="D28" i="14" s="1"/>
  <c r="K37" i="8"/>
  <c r="E34" i="8"/>
  <c r="K30" i="8" s="1"/>
  <c r="K32" i="8" s="1"/>
  <c r="K24" i="8" s="1"/>
  <c r="K25" i="8" s="1"/>
  <c r="K36" i="8" s="1"/>
  <c r="K42" i="8" s="1"/>
  <c r="D30" i="8"/>
  <c r="D31" i="8"/>
  <c r="O11" i="9"/>
  <c r="K8" i="9" s="1"/>
  <c r="K14" i="9" s="1"/>
  <c r="B3" i="7"/>
  <c r="C15" i="7"/>
  <c r="C16" i="7" s="1"/>
  <c r="C17" i="7" s="1"/>
  <c r="C18" i="7" s="1"/>
  <c r="C19" i="7" s="1"/>
  <c r="D5" i="7" a="1"/>
  <c r="D5" i="7" s="1"/>
  <c r="C3" i="3"/>
  <c r="C5" i="7" a="1"/>
  <c r="C5" i="7" s="1"/>
  <c r="C6" i="7" s="1"/>
  <c r="C7" i="7" s="1"/>
  <c r="C8" i="7" s="1"/>
  <c r="C9" i="7" s="1"/>
  <c r="C10" i="7" s="1"/>
  <c r="C11" i="7" s="1"/>
  <c r="C12" i="7" s="1"/>
  <c r="C13" i="7" s="1"/>
  <c r="C14" i="7" s="1"/>
  <c r="B6" i="7"/>
  <c r="B7" i="7" s="1"/>
  <c r="B8" i="7" s="1"/>
  <c r="B9" i="7" s="1"/>
  <c r="B10" i="7" s="1"/>
  <c r="B11" i="7" s="1"/>
  <c r="B12" i="7" s="1"/>
  <c r="B13" i="7" s="1"/>
  <c r="B14" i="7" s="1"/>
  <c r="B15" i="7" s="1"/>
  <c r="O39" i="6"/>
  <c r="O40" i="6"/>
  <c r="O41" i="6"/>
  <c r="O38" i="6"/>
  <c r="O35" i="6"/>
  <c r="O36" i="6"/>
  <c r="O34" i="6"/>
  <c r="O29" i="6"/>
  <c r="O30" i="6"/>
  <c r="O31" i="6"/>
  <c r="O32" i="6"/>
  <c r="O28" i="6"/>
  <c r="O24" i="6"/>
  <c r="O26" i="6"/>
  <c r="O22" i="6"/>
  <c r="O19" i="6"/>
  <c r="O20" i="6"/>
  <c r="O18" i="6"/>
  <c r="O13" i="6"/>
  <c r="O14" i="6"/>
  <c r="O15" i="6"/>
  <c r="O16" i="6"/>
  <c r="O12" i="6"/>
  <c r="N39" i="6"/>
  <c r="N40" i="6"/>
  <c r="N41" i="6"/>
  <c r="N38" i="6"/>
  <c r="N35" i="6"/>
  <c r="N36" i="6"/>
  <c r="N34" i="6"/>
  <c r="N29" i="6"/>
  <c r="N30" i="6"/>
  <c r="N31" i="6"/>
  <c r="N32" i="6"/>
  <c r="N28" i="6"/>
  <c r="N24" i="6"/>
  <c r="N26" i="6"/>
  <c r="N22" i="6"/>
  <c r="N19" i="6"/>
  <c r="N20" i="6"/>
  <c r="N18" i="6"/>
  <c r="N13" i="6"/>
  <c r="N14" i="6"/>
  <c r="N15" i="6"/>
  <c r="N16" i="6"/>
  <c r="N12" i="6"/>
  <c r="O9" i="6"/>
  <c r="O8" i="6"/>
  <c r="O7" i="6"/>
  <c r="O6" i="6"/>
  <c r="O5" i="6"/>
  <c r="N9" i="6"/>
  <c r="N8" i="6"/>
  <c r="N7" i="6"/>
  <c r="N6" i="6"/>
  <c r="N5" i="6"/>
  <c r="L41" i="6"/>
  <c r="K41" i="6"/>
  <c r="J41" i="6"/>
  <c r="I41" i="6"/>
  <c r="H41" i="6"/>
  <c r="G41" i="6"/>
  <c r="F41" i="6"/>
  <c r="E41" i="6"/>
  <c r="L40" i="6"/>
  <c r="K40" i="6"/>
  <c r="J40" i="6"/>
  <c r="I40" i="6"/>
  <c r="H40" i="6"/>
  <c r="G40" i="6"/>
  <c r="F40" i="6"/>
  <c r="E40" i="6"/>
  <c r="L39" i="6"/>
  <c r="K39" i="6"/>
  <c r="J39" i="6"/>
  <c r="I39" i="6"/>
  <c r="H39" i="6"/>
  <c r="G39" i="6"/>
  <c r="F39" i="6"/>
  <c r="E39" i="6"/>
  <c r="L38" i="6"/>
  <c r="K38" i="6"/>
  <c r="J38" i="6"/>
  <c r="I38" i="6"/>
  <c r="H38" i="6"/>
  <c r="G38" i="6"/>
  <c r="F38" i="6"/>
  <c r="E38" i="6"/>
  <c r="D41" i="6"/>
  <c r="D40" i="6"/>
  <c r="D39" i="6"/>
  <c r="D38" i="6"/>
  <c r="L36" i="6"/>
  <c r="K36" i="6"/>
  <c r="J36" i="6"/>
  <c r="I36" i="6"/>
  <c r="H36" i="6"/>
  <c r="G36" i="6"/>
  <c r="F36" i="6"/>
  <c r="E36" i="6"/>
  <c r="L35" i="6"/>
  <c r="K35" i="6"/>
  <c r="J35" i="6"/>
  <c r="I35" i="6"/>
  <c r="H35" i="6"/>
  <c r="G35" i="6"/>
  <c r="F35" i="6"/>
  <c r="E35" i="6"/>
  <c r="L34" i="6"/>
  <c r="K34" i="6"/>
  <c r="J34" i="6"/>
  <c r="I34" i="6"/>
  <c r="H34" i="6"/>
  <c r="G34" i="6"/>
  <c r="F34" i="6"/>
  <c r="E34" i="6"/>
  <c r="D36" i="6"/>
  <c r="D35" i="6"/>
  <c r="D34" i="6"/>
  <c r="L32" i="6"/>
  <c r="K32" i="6"/>
  <c r="J32" i="6"/>
  <c r="I32" i="6"/>
  <c r="H32" i="6"/>
  <c r="G32" i="6"/>
  <c r="F32" i="6"/>
  <c r="E32" i="6"/>
  <c r="L31" i="6"/>
  <c r="K31" i="6"/>
  <c r="J31" i="6"/>
  <c r="I31" i="6"/>
  <c r="H31" i="6"/>
  <c r="G31" i="6"/>
  <c r="F31" i="6"/>
  <c r="E31" i="6"/>
  <c r="L30" i="6"/>
  <c r="K30" i="6"/>
  <c r="J30" i="6"/>
  <c r="I30" i="6"/>
  <c r="H30" i="6"/>
  <c r="G30" i="6"/>
  <c r="F30" i="6"/>
  <c r="E30" i="6"/>
  <c r="L29" i="6"/>
  <c r="K29" i="6"/>
  <c r="J29" i="6"/>
  <c r="I29" i="6"/>
  <c r="H29" i="6"/>
  <c r="G29" i="6"/>
  <c r="F29" i="6"/>
  <c r="E29" i="6"/>
  <c r="L28" i="6"/>
  <c r="K28" i="6"/>
  <c r="J28" i="6"/>
  <c r="I28" i="6"/>
  <c r="H28" i="6"/>
  <c r="G28" i="6"/>
  <c r="F28" i="6"/>
  <c r="E28" i="6"/>
  <c r="D32" i="6"/>
  <c r="D31" i="6"/>
  <c r="D30" i="6"/>
  <c r="D29" i="6"/>
  <c r="D28" i="6"/>
  <c r="L26" i="6"/>
  <c r="K26" i="6"/>
  <c r="J26" i="6"/>
  <c r="I26" i="6"/>
  <c r="H26" i="6"/>
  <c r="G26" i="6"/>
  <c r="F26" i="6"/>
  <c r="E26" i="6"/>
  <c r="L24" i="6"/>
  <c r="K24" i="6"/>
  <c r="J24" i="6"/>
  <c r="I24" i="6"/>
  <c r="H24" i="6"/>
  <c r="G24" i="6"/>
  <c r="F24" i="6"/>
  <c r="E24" i="6"/>
  <c r="L23" i="6"/>
  <c r="L25" i="6" s="1"/>
  <c r="K23" i="6"/>
  <c r="K25" i="6" s="1"/>
  <c r="J23" i="6"/>
  <c r="J25" i="6" s="1"/>
  <c r="I23" i="6"/>
  <c r="I25" i="6" s="1"/>
  <c r="H23" i="6"/>
  <c r="H25" i="6" s="1"/>
  <c r="G23" i="6"/>
  <c r="G25" i="6" s="1"/>
  <c r="F23" i="6"/>
  <c r="F25" i="6" s="1"/>
  <c r="E23" i="6"/>
  <c r="E25" i="6" s="1"/>
  <c r="L22" i="6"/>
  <c r="K22" i="6"/>
  <c r="J22" i="6"/>
  <c r="I22" i="6"/>
  <c r="H22" i="6"/>
  <c r="G22" i="6"/>
  <c r="F22" i="6"/>
  <c r="E22" i="6"/>
  <c r="D26" i="6"/>
  <c r="D22" i="6"/>
  <c r="D24" i="6"/>
  <c r="L14" i="6"/>
  <c r="K14" i="6"/>
  <c r="J14" i="6"/>
  <c r="I14" i="6"/>
  <c r="H14" i="6"/>
  <c r="G14" i="6"/>
  <c r="F14" i="6"/>
  <c r="E14" i="6"/>
  <c r="D14" i="6"/>
  <c r="L7" i="6"/>
  <c r="K7" i="6"/>
  <c r="J7" i="6"/>
  <c r="I7" i="6"/>
  <c r="H7" i="6"/>
  <c r="G7" i="6"/>
  <c r="F7" i="6"/>
  <c r="E7" i="6"/>
  <c r="D7" i="6"/>
  <c r="F10" i="6"/>
  <c r="E10" i="6"/>
  <c r="D10" i="6"/>
  <c r="N10" i="6" s="1"/>
  <c r="B2" i="6"/>
  <c r="L3" i="6"/>
  <c r="K3" i="6"/>
  <c r="J3" i="6"/>
  <c r="I3" i="6"/>
  <c r="H3" i="6"/>
  <c r="G3" i="6"/>
  <c r="F3" i="6"/>
  <c r="E3" i="6"/>
  <c r="D3" i="6"/>
  <c r="C3" i="6"/>
  <c r="L103" i="3"/>
  <c r="K103" i="3"/>
  <c r="J103" i="3"/>
  <c r="I103" i="3"/>
  <c r="H103" i="3"/>
  <c r="G103" i="3"/>
  <c r="F103" i="3"/>
  <c r="E103" i="3"/>
  <c r="D103" i="3"/>
  <c r="C103" i="3"/>
  <c r="L102" i="3"/>
  <c r="K102" i="3"/>
  <c r="J102" i="3"/>
  <c r="I102" i="3"/>
  <c r="H102" i="3"/>
  <c r="G102" i="3"/>
  <c r="F102" i="3"/>
  <c r="E102" i="3"/>
  <c r="D102" i="3"/>
  <c r="C102" i="3"/>
  <c r="L101" i="3"/>
  <c r="K101" i="3"/>
  <c r="J101" i="3"/>
  <c r="I101" i="3"/>
  <c r="H101" i="3"/>
  <c r="G101" i="3"/>
  <c r="F101" i="3"/>
  <c r="E101" i="3"/>
  <c r="D101" i="3"/>
  <c r="C101" i="3"/>
  <c r="L100" i="3"/>
  <c r="K100" i="3"/>
  <c r="J100" i="3"/>
  <c r="I100" i="3"/>
  <c r="H100" i="3"/>
  <c r="G100" i="3"/>
  <c r="F100" i="3"/>
  <c r="E100" i="3"/>
  <c r="D100" i="3"/>
  <c r="C100" i="3"/>
  <c r="L99" i="3"/>
  <c r="K99" i="3"/>
  <c r="J99" i="3"/>
  <c r="I99" i="3"/>
  <c r="H99" i="3"/>
  <c r="G99" i="3"/>
  <c r="F99" i="3"/>
  <c r="E99" i="3"/>
  <c r="D99" i="3"/>
  <c r="C99" i="3"/>
  <c r="L95" i="3"/>
  <c r="K95" i="3"/>
  <c r="J95" i="3"/>
  <c r="I95" i="3"/>
  <c r="H95" i="3"/>
  <c r="G95" i="3"/>
  <c r="F95" i="3"/>
  <c r="E95" i="3"/>
  <c r="D95" i="3"/>
  <c r="C95" i="3"/>
  <c r="L94" i="3"/>
  <c r="K94" i="3"/>
  <c r="J94" i="3"/>
  <c r="I94" i="3"/>
  <c r="H94" i="3"/>
  <c r="G94" i="3"/>
  <c r="F94" i="3"/>
  <c r="E94" i="3"/>
  <c r="D94" i="3"/>
  <c r="C94" i="3"/>
  <c r="L93" i="3"/>
  <c r="K93" i="3"/>
  <c r="J93" i="3"/>
  <c r="I93" i="3"/>
  <c r="H93" i="3"/>
  <c r="G93" i="3"/>
  <c r="F93" i="3"/>
  <c r="E93" i="3"/>
  <c r="D93" i="3"/>
  <c r="C93" i="3"/>
  <c r="L92" i="3"/>
  <c r="K92" i="3"/>
  <c r="J92" i="3"/>
  <c r="I92" i="3"/>
  <c r="H92" i="3"/>
  <c r="G92" i="3"/>
  <c r="F92" i="3"/>
  <c r="E92" i="3"/>
  <c r="D92" i="3"/>
  <c r="C92" i="3"/>
  <c r="L91" i="3"/>
  <c r="K91" i="3"/>
  <c r="J91" i="3"/>
  <c r="I91" i="3"/>
  <c r="H91" i="3"/>
  <c r="G91" i="3"/>
  <c r="F91" i="3"/>
  <c r="E91" i="3"/>
  <c r="D91" i="3"/>
  <c r="C91" i="3"/>
  <c r="L90" i="3"/>
  <c r="K90" i="3"/>
  <c r="J90" i="3"/>
  <c r="I90" i="3"/>
  <c r="H90" i="3"/>
  <c r="G90" i="3"/>
  <c r="F90" i="3"/>
  <c r="E90" i="3"/>
  <c r="D90" i="3"/>
  <c r="C90" i="3"/>
  <c r="L89" i="3"/>
  <c r="K89" i="3"/>
  <c r="J89" i="3"/>
  <c r="I89" i="3"/>
  <c r="H89" i="3"/>
  <c r="G89" i="3"/>
  <c r="F89" i="3"/>
  <c r="E89" i="3"/>
  <c r="D89" i="3"/>
  <c r="C89" i="3"/>
  <c r="C88" i="3"/>
  <c r="L88" i="3"/>
  <c r="K88" i="3"/>
  <c r="J88" i="3"/>
  <c r="I88" i="3"/>
  <c r="H88" i="3"/>
  <c r="G88" i="3"/>
  <c r="F88" i="3"/>
  <c r="E88" i="3"/>
  <c r="D88" i="3"/>
  <c r="L13" i="5"/>
  <c r="K13" i="5"/>
  <c r="J13" i="5"/>
  <c r="I13" i="5"/>
  <c r="H13" i="5"/>
  <c r="G13" i="5"/>
  <c r="F13" i="5"/>
  <c r="E13" i="5"/>
  <c r="D13" i="5"/>
  <c r="C13" i="5"/>
  <c r="L84" i="3"/>
  <c r="K84" i="3"/>
  <c r="J84" i="3"/>
  <c r="I84" i="3"/>
  <c r="H84" i="3"/>
  <c r="G84" i="3"/>
  <c r="F84" i="3"/>
  <c r="E84" i="3"/>
  <c r="D84" i="3"/>
  <c r="C84" i="3"/>
  <c r="L83" i="3"/>
  <c r="K83" i="3"/>
  <c r="J83" i="3"/>
  <c r="I83" i="3"/>
  <c r="H83" i="3"/>
  <c r="G83" i="3"/>
  <c r="F83" i="3"/>
  <c r="E83" i="3"/>
  <c r="D83" i="3"/>
  <c r="C83" i="3"/>
  <c r="L82" i="3"/>
  <c r="K82" i="3"/>
  <c r="J82" i="3"/>
  <c r="I82" i="3"/>
  <c r="H82" i="3"/>
  <c r="G82" i="3"/>
  <c r="F82" i="3"/>
  <c r="E82" i="3"/>
  <c r="D82" i="3"/>
  <c r="C82" i="3"/>
  <c r="L81" i="3"/>
  <c r="K81" i="3"/>
  <c r="J81" i="3"/>
  <c r="I81" i="3"/>
  <c r="H81" i="3"/>
  <c r="G81" i="3"/>
  <c r="F81" i="3"/>
  <c r="E81" i="3"/>
  <c r="D81" i="3"/>
  <c r="C81" i="3"/>
  <c r="L80" i="3"/>
  <c r="K80" i="3"/>
  <c r="J80" i="3"/>
  <c r="I80" i="3"/>
  <c r="H80" i="3"/>
  <c r="G80" i="3"/>
  <c r="F80" i="3"/>
  <c r="E80" i="3"/>
  <c r="D80" i="3"/>
  <c r="C80" i="3"/>
  <c r="L79" i="3"/>
  <c r="K79" i="3"/>
  <c r="J79" i="3"/>
  <c r="I79" i="3"/>
  <c r="H79" i="3"/>
  <c r="G79" i="3"/>
  <c r="F79" i="3"/>
  <c r="E79" i="3"/>
  <c r="D79" i="3"/>
  <c r="C79" i="3"/>
  <c r="L78" i="3"/>
  <c r="K78" i="3"/>
  <c r="J78" i="3"/>
  <c r="I78" i="3"/>
  <c r="H78" i="3"/>
  <c r="G78" i="3"/>
  <c r="F78" i="3"/>
  <c r="E78" i="3"/>
  <c r="D78" i="3"/>
  <c r="C78" i="3"/>
  <c r="L77" i="3"/>
  <c r="K77" i="3"/>
  <c r="J77" i="3"/>
  <c r="J85" i="3" s="1"/>
  <c r="I77" i="3"/>
  <c r="H77" i="3"/>
  <c r="G77" i="3"/>
  <c r="F77" i="3"/>
  <c r="E77" i="3"/>
  <c r="D77" i="3"/>
  <c r="C77" i="3"/>
  <c r="L76" i="3"/>
  <c r="K76" i="3"/>
  <c r="J76" i="3"/>
  <c r="I76" i="3"/>
  <c r="H76" i="3"/>
  <c r="G76" i="3"/>
  <c r="F76" i="3"/>
  <c r="E76" i="3"/>
  <c r="D76" i="3"/>
  <c r="D85" i="3" s="1"/>
  <c r="C76" i="3"/>
  <c r="C53" i="3"/>
  <c r="D53" i="3"/>
  <c r="E53" i="3"/>
  <c r="F53" i="3"/>
  <c r="G53" i="3"/>
  <c r="H53" i="3"/>
  <c r="I53" i="3"/>
  <c r="J53" i="3"/>
  <c r="K53" i="3"/>
  <c r="L53" i="3"/>
  <c r="C54" i="3"/>
  <c r="D54" i="3"/>
  <c r="E54" i="3"/>
  <c r="F54" i="3"/>
  <c r="G54" i="3"/>
  <c r="H54" i="3"/>
  <c r="I54" i="3"/>
  <c r="J54" i="3"/>
  <c r="K54" i="3"/>
  <c r="L54" i="3"/>
  <c r="C55" i="3"/>
  <c r="D55" i="3"/>
  <c r="E55" i="3"/>
  <c r="F55" i="3"/>
  <c r="G55" i="3"/>
  <c r="H55" i="3"/>
  <c r="I55" i="3"/>
  <c r="J55" i="3"/>
  <c r="K55" i="3"/>
  <c r="L55" i="3"/>
  <c r="C56" i="3"/>
  <c r="D56" i="3"/>
  <c r="E56" i="3"/>
  <c r="F56" i="3"/>
  <c r="G56" i="3"/>
  <c r="H56" i="3"/>
  <c r="I56" i="3"/>
  <c r="J56" i="3"/>
  <c r="K56" i="3"/>
  <c r="L56" i="3"/>
  <c r="C59" i="3"/>
  <c r="D59" i="3"/>
  <c r="E59" i="3"/>
  <c r="F59" i="3"/>
  <c r="G59" i="3"/>
  <c r="H59" i="3"/>
  <c r="I59" i="3"/>
  <c r="J59" i="3"/>
  <c r="K59" i="3"/>
  <c r="L59" i="3"/>
  <c r="C60" i="3"/>
  <c r="D60" i="3"/>
  <c r="E60" i="3"/>
  <c r="F60" i="3"/>
  <c r="G60" i="3"/>
  <c r="H60" i="3"/>
  <c r="I60" i="3"/>
  <c r="J60" i="3"/>
  <c r="K60" i="3"/>
  <c r="L60" i="3"/>
  <c r="C61" i="3"/>
  <c r="D61" i="3"/>
  <c r="E61" i="3"/>
  <c r="F61" i="3"/>
  <c r="G61" i="3"/>
  <c r="H61" i="3"/>
  <c r="I61" i="3"/>
  <c r="J61" i="3"/>
  <c r="K61" i="3"/>
  <c r="L61" i="3"/>
  <c r="C62" i="3"/>
  <c r="D62" i="3"/>
  <c r="E62" i="3"/>
  <c r="F62" i="3"/>
  <c r="G62" i="3"/>
  <c r="H62" i="3"/>
  <c r="I62" i="3"/>
  <c r="J62" i="3"/>
  <c r="K62" i="3"/>
  <c r="L62" i="3"/>
  <c r="C65" i="3"/>
  <c r="D65" i="3"/>
  <c r="E65" i="3"/>
  <c r="F65" i="3"/>
  <c r="F68" i="3" s="1"/>
  <c r="G65" i="3"/>
  <c r="H65" i="3"/>
  <c r="I65" i="3"/>
  <c r="J65" i="3"/>
  <c r="K65" i="3"/>
  <c r="L65" i="3"/>
  <c r="C66" i="3"/>
  <c r="D66" i="3"/>
  <c r="E66" i="3"/>
  <c r="F66" i="3"/>
  <c r="G66" i="3"/>
  <c r="H66" i="3"/>
  <c r="I66" i="3"/>
  <c r="J66" i="3"/>
  <c r="K66" i="3"/>
  <c r="L66" i="3"/>
  <c r="C67" i="3"/>
  <c r="D67" i="3"/>
  <c r="E67" i="3"/>
  <c r="F67" i="3"/>
  <c r="G67" i="3"/>
  <c r="H67" i="3"/>
  <c r="I67" i="3"/>
  <c r="J67" i="3"/>
  <c r="K67" i="3"/>
  <c r="L67" i="3"/>
  <c r="E68" i="3"/>
  <c r="M47" i="3"/>
  <c r="L47" i="3"/>
  <c r="L10" i="6" s="1"/>
  <c r="K47" i="3"/>
  <c r="K10" i="6" s="1"/>
  <c r="J47" i="3"/>
  <c r="J10" i="6" s="1"/>
  <c r="I47" i="3"/>
  <c r="H47" i="3"/>
  <c r="G47" i="3"/>
  <c r="F47" i="3"/>
  <c r="E47" i="3"/>
  <c r="D47" i="3"/>
  <c r="L42" i="3"/>
  <c r="M42" i="3" s="1"/>
  <c r="K42" i="3"/>
  <c r="J42" i="3"/>
  <c r="I42" i="3"/>
  <c r="H42" i="3"/>
  <c r="G42" i="3"/>
  <c r="F42" i="3"/>
  <c r="E42" i="3"/>
  <c r="D42" i="3"/>
  <c r="C42" i="3"/>
  <c r="M36" i="3"/>
  <c r="L36" i="3"/>
  <c r="K36" i="3"/>
  <c r="J36" i="3"/>
  <c r="I36" i="3"/>
  <c r="H36" i="3"/>
  <c r="G36" i="3"/>
  <c r="F36" i="3"/>
  <c r="E36" i="3"/>
  <c r="D36" i="3"/>
  <c r="C36" i="3"/>
  <c r="M30" i="3"/>
  <c r="L30" i="3"/>
  <c r="K30" i="3"/>
  <c r="J30" i="3"/>
  <c r="I30" i="3"/>
  <c r="H30" i="3"/>
  <c r="G30" i="3"/>
  <c r="F30" i="3"/>
  <c r="E30" i="3"/>
  <c r="D30" i="3"/>
  <c r="C30" i="3"/>
  <c r="M27" i="3"/>
  <c r="L27" i="3"/>
  <c r="K27" i="3"/>
  <c r="J27" i="3"/>
  <c r="I27" i="3"/>
  <c r="H27" i="3"/>
  <c r="G27" i="3"/>
  <c r="F27" i="3"/>
  <c r="E27" i="3"/>
  <c r="D27" i="3"/>
  <c r="C27" i="3"/>
  <c r="M21" i="3"/>
  <c r="L21" i="3"/>
  <c r="K21" i="3"/>
  <c r="J21" i="3"/>
  <c r="I21" i="3"/>
  <c r="H21" i="3"/>
  <c r="G21" i="3"/>
  <c r="F21" i="3"/>
  <c r="E21" i="3"/>
  <c r="D21" i="3"/>
  <c r="C21" i="3"/>
  <c r="M18" i="3"/>
  <c r="M24" i="3" s="1"/>
  <c r="M25" i="3" s="1"/>
  <c r="L15" i="3"/>
  <c r="K15" i="3"/>
  <c r="J15" i="3"/>
  <c r="I15" i="3"/>
  <c r="H15" i="3"/>
  <c r="G15" i="3"/>
  <c r="F15" i="3"/>
  <c r="E15" i="3"/>
  <c r="D15" i="3"/>
  <c r="C15" i="3"/>
  <c r="L9" i="3"/>
  <c r="K9" i="3"/>
  <c r="J9" i="3"/>
  <c r="I9" i="3"/>
  <c r="H9" i="3"/>
  <c r="G9" i="3"/>
  <c r="F9" i="3"/>
  <c r="E9" i="3"/>
  <c r="D9" i="3"/>
  <c r="C9" i="3"/>
  <c r="M6" i="3"/>
  <c r="L6" i="3"/>
  <c r="K6" i="3"/>
  <c r="J6" i="3"/>
  <c r="I6" i="3"/>
  <c r="H6" i="3"/>
  <c r="G6" i="3"/>
  <c r="G22" i="3" s="1"/>
  <c r="G19" i="6" s="1"/>
  <c r="F6" i="3"/>
  <c r="E6" i="3"/>
  <c r="D6" i="3"/>
  <c r="C6" i="3"/>
  <c r="L3" i="3"/>
  <c r="K3" i="3"/>
  <c r="J3" i="3"/>
  <c r="I3" i="3"/>
  <c r="H3" i="3"/>
  <c r="G3" i="3"/>
  <c r="F3" i="3"/>
  <c r="E3" i="3"/>
  <c r="D3" i="3"/>
  <c r="B2" i="3"/>
  <c r="B6" i="1"/>
  <c r="E1" i="1"/>
  <c r="O10" i="6" l="1"/>
  <c r="D30" i="14"/>
  <c r="D34" i="14" s="1"/>
  <c r="D37" i="14" s="1"/>
  <c r="D40" i="14" s="1"/>
  <c r="D34" i="8"/>
  <c r="B16" i="7"/>
  <c r="D14" i="7"/>
  <c r="D13" i="7"/>
  <c r="D12" i="7"/>
  <c r="D10" i="7"/>
  <c r="D7" i="7"/>
  <c r="D11" i="7"/>
  <c r="E11" i="7" s="1"/>
  <c r="D9" i="7"/>
  <c r="D8" i="7"/>
  <c r="E8" i="7" s="1"/>
  <c r="D6" i="7"/>
  <c r="E6" i="7" s="1"/>
  <c r="I10" i="6"/>
  <c r="J104" i="3"/>
  <c r="I104" i="3"/>
  <c r="E96" i="3"/>
  <c r="H10" i="6"/>
  <c r="E10" i="3"/>
  <c r="E12" i="6" s="1"/>
  <c r="K96" i="3"/>
  <c r="F85" i="3"/>
  <c r="F96" i="3"/>
  <c r="I96" i="3"/>
  <c r="G104" i="3"/>
  <c r="J96" i="3"/>
  <c r="L96" i="3"/>
  <c r="F104" i="3"/>
  <c r="G85" i="3"/>
  <c r="H85" i="3"/>
  <c r="I85" i="3"/>
  <c r="D104" i="3"/>
  <c r="C96" i="3"/>
  <c r="K104" i="3"/>
  <c r="E85" i="3"/>
  <c r="E106" i="3" s="1"/>
  <c r="D68" i="3"/>
  <c r="J57" i="3"/>
  <c r="L104" i="3"/>
  <c r="H104" i="3"/>
  <c r="C68" i="3"/>
  <c r="I57" i="3"/>
  <c r="C57" i="3"/>
  <c r="C104" i="3"/>
  <c r="K85" i="3"/>
  <c r="L85" i="3"/>
  <c r="G96" i="3"/>
  <c r="G106" i="3" s="1"/>
  <c r="D96" i="3"/>
  <c r="E104" i="3"/>
  <c r="G10" i="6"/>
  <c r="H96" i="3"/>
  <c r="H106" i="3" s="1"/>
  <c r="F63" i="3"/>
  <c r="F70" i="3" s="1"/>
  <c r="K68" i="3"/>
  <c r="I63" i="3"/>
  <c r="C63" i="3"/>
  <c r="K63" i="3"/>
  <c r="E63" i="3"/>
  <c r="E70" i="3" s="1"/>
  <c r="L68" i="3"/>
  <c r="J63" i="3"/>
  <c r="D63" i="3"/>
  <c r="J68" i="3"/>
  <c r="H63" i="3"/>
  <c r="I68" i="3"/>
  <c r="G63" i="3"/>
  <c r="L63" i="3"/>
  <c r="D10" i="3"/>
  <c r="D12" i="6" s="1"/>
  <c r="H68" i="3"/>
  <c r="H70" i="3" s="1"/>
  <c r="H57" i="3"/>
  <c r="D28" i="3"/>
  <c r="G68" i="3"/>
  <c r="G57" i="3"/>
  <c r="E28" i="3"/>
  <c r="L57" i="3"/>
  <c r="F57" i="3"/>
  <c r="K57" i="3"/>
  <c r="E57" i="3"/>
  <c r="D57" i="3"/>
  <c r="D106" i="3"/>
  <c r="C85" i="3"/>
  <c r="E16" i="3"/>
  <c r="E18" i="6" s="1"/>
  <c r="J22" i="3"/>
  <c r="J19" i="6" s="1"/>
  <c r="K22" i="3"/>
  <c r="K19" i="6" s="1"/>
  <c r="F22" i="3"/>
  <c r="F19" i="6" s="1"/>
  <c r="I7" i="3"/>
  <c r="I5" i="6" s="1"/>
  <c r="M28" i="3"/>
  <c r="F12" i="3"/>
  <c r="F13" i="3" s="1"/>
  <c r="C10" i="3"/>
  <c r="C28" i="3"/>
  <c r="D31" i="3"/>
  <c r="L28" i="3"/>
  <c r="F10" i="3"/>
  <c r="F12" i="6" s="1"/>
  <c r="K16" i="3"/>
  <c r="K18" i="6" s="1"/>
  <c r="E7" i="3"/>
  <c r="E5" i="6" s="1"/>
  <c r="I22" i="3"/>
  <c r="I19" i="6" s="1"/>
  <c r="F16" i="3"/>
  <c r="F18" i="6" s="1"/>
  <c r="H16" i="3"/>
  <c r="H18" i="6" s="1"/>
  <c r="K10" i="3"/>
  <c r="K12" i="6" s="1"/>
  <c r="M19" i="3"/>
  <c r="D12" i="3"/>
  <c r="D13" i="3" s="1"/>
  <c r="J31" i="3"/>
  <c r="C16" i="3"/>
  <c r="K31" i="3"/>
  <c r="M12" i="3"/>
  <c r="M13" i="3" s="1"/>
  <c r="D16" i="3"/>
  <c r="D18" i="6" s="1"/>
  <c r="H28" i="3"/>
  <c r="H7" i="3"/>
  <c r="H5" i="6" s="1"/>
  <c r="H22" i="3"/>
  <c r="H19" i="6" s="1"/>
  <c r="G10" i="3"/>
  <c r="G12" i="6" s="1"/>
  <c r="G28" i="3"/>
  <c r="I10" i="3"/>
  <c r="I12" i="6" s="1"/>
  <c r="E22" i="3"/>
  <c r="E19" i="6" s="1"/>
  <c r="C31" i="3"/>
  <c r="C22" i="3"/>
  <c r="H12" i="3"/>
  <c r="H13" i="3" s="1"/>
  <c r="J7" i="3"/>
  <c r="J5" i="6" s="1"/>
  <c r="K12" i="3"/>
  <c r="K13" i="3" s="1"/>
  <c r="J10" i="3"/>
  <c r="J12" i="6" s="1"/>
  <c r="M33" i="3"/>
  <c r="M37" i="3" s="1"/>
  <c r="D22" i="3"/>
  <c r="D19" i="6" s="1"/>
  <c r="L31" i="3"/>
  <c r="I16" i="3"/>
  <c r="I18" i="6" s="1"/>
  <c r="E31" i="3"/>
  <c r="L10" i="3"/>
  <c r="L12" i="6" s="1"/>
  <c r="J16" i="3"/>
  <c r="J18" i="6" s="1"/>
  <c r="F31" i="3"/>
  <c r="F28" i="3"/>
  <c r="D7" i="3"/>
  <c r="D5" i="6" s="1"/>
  <c r="G31" i="3"/>
  <c r="L16" i="3"/>
  <c r="L18" i="6" s="1"/>
  <c r="I28" i="3"/>
  <c r="H31" i="3"/>
  <c r="E12" i="3"/>
  <c r="E13" i="3" s="1"/>
  <c r="F7" i="3"/>
  <c r="F5" i="6" s="1"/>
  <c r="C12" i="3"/>
  <c r="C13" i="3" s="1"/>
  <c r="I31" i="3"/>
  <c r="G7" i="3"/>
  <c r="G5" i="6" s="1"/>
  <c r="M10" i="3"/>
  <c r="K28" i="3"/>
  <c r="G16" i="3"/>
  <c r="G18" i="6" s="1"/>
  <c r="M31" i="3"/>
  <c r="K7" i="3"/>
  <c r="K5" i="6" s="1"/>
  <c r="J12" i="3"/>
  <c r="G12" i="3"/>
  <c r="L7" i="3"/>
  <c r="L5" i="6" s="1"/>
  <c r="J28" i="3"/>
  <c r="L22" i="3"/>
  <c r="L19" i="6" s="1"/>
  <c r="M22" i="3"/>
  <c r="M7" i="3"/>
  <c r="H10" i="3"/>
  <c r="H12" i="6" s="1"/>
  <c r="L12" i="3"/>
  <c r="I12" i="3"/>
  <c r="E9" i="7" l="1"/>
  <c r="E7" i="7"/>
  <c r="E10" i="7"/>
  <c r="E12" i="7"/>
  <c r="E13" i="7"/>
  <c r="E14" i="7"/>
  <c r="D15" i="7"/>
  <c r="E15" i="7" s="1"/>
  <c r="B17" i="7"/>
  <c r="D16" i="7"/>
  <c r="E16" i="7" s="1"/>
  <c r="K106" i="3"/>
  <c r="J70" i="3"/>
  <c r="J106" i="3"/>
  <c r="L106" i="3"/>
  <c r="K70" i="3"/>
  <c r="D70" i="3"/>
  <c r="F106" i="3"/>
  <c r="I106" i="3"/>
  <c r="L70" i="3"/>
  <c r="C106" i="3"/>
  <c r="C70" i="3"/>
  <c r="G70" i="3"/>
  <c r="I70" i="3"/>
  <c r="F18" i="3"/>
  <c r="F24" i="3" s="1"/>
  <c r="F25" i="3" s="1"/>
  <c r="D18" i="3"/>
  <c r="D24" i="3" s="1"/>
  <c r="D25" i="3" s="1"/>
  <c r="H18" i="3"/>
  <c r="H24" i="3" s="1"/>
  <c r="H25" i="3" s="1"/>
  <c r="M34" i="3"/>
  <c r="E18" i="3"/>
  <c r="E24" i="3" s="1"/>
  <c r="E25" i="3" s="1"/>
  <c r="C18" i="3"/>
  <c r="K18" i="3"/>
  <c r="K24" i="3" s="1"/>
  <c r="K25" i="3" s="1"/>
  <c r="M39" i="3"/>
  <c r="M40" i="3" s="1"/>
  <c r="L18" i="3"/>
  <c r="L13" i="3"/>
  <c r="G13" i="3"/>
  <c r="G18" i="3"/>
  <c r="G24" i="3" s="1"/>
  <c r="G25" i="3" s="1"/>
  <c r="I18" i="3"/>
  <c r="I24" i="3" s="1"/>
  <c r="I25" i="3" s="1"/>
  <c r="I13" i="3"/>
  <c r="J13" i="3"/>
  <c r="J18" i="3"/>
  <c r="B18" i="7" l="1"/>
  <c r="D17" i="7"/>
  <c r="E17" i="7" s="1"/>
  <c r="C19" i="3"/>
  <c r="C24" i="3"/>
  <c r="C25" i="3" s="1"/>
  <c r="J6" i="6"/>
  <c r="J24" i="3"/>
  <c r="J25" i="3" s="1"/>
  <c r="L6" i="6"/>
  <c r="L24" i="3"/>
  <c r="L25" i="3" s="1"/>
  <c r="I6" i="6"/>
  <c r="E33" i="3"/>
  <c r="E37" i="3" s="1"/>
  <c r="E6" i="6"/>
  <c r="G6" i="6"/>
  <c r="F33" i="3"/>
  <c r="F39" i="3" s="1"/>
  <c r="F6" i="6"/>
  <c r="K19" i="3"/>
  <c r="K13" i="6" s="1"/>
  <c r="K6" i="6"/>
  <c r="H19" i="3"/>
  <c r="H13" i="6" s="1"/>
  <c r="H6" i="6"/>
  <c r="D33" i="3"/>
  <c r="D34" i="3" s="1"/>
  <c r="D15" i="6" s="1"/>
  <c r="D6" i="6"/>
  <c r="F19" i="3"/>
  <c r="F13" i="6" s="1"/>
  <c r="D19" i="3"/>
  <c r="D13" i="6" s="1"/>
  <c r="H33" i="3"/>
  <c r="M44" i="3"/>
  <c r="M48" i="3" s="1"/>
  <c r="M50" i="3" s="1"/>
  <c r="E19" i="3"/>
  <c r="E13" i="6" s="1"/>
  <c r="K33" i="3"/>
  <c r="C34" i="3"/>
  <c r="I19" i="3"/>
  <c r="I13" i="6" s="1"/>
  <c r="I33" i="3"/>
  <c r="G19" i="3"/>
  <c r="G13" i="6" s="1"/>
  <c r="G33" i="3"/>
  <c r="J19" i="3"/>
  <c r="J13" i="6" s="1"/>
  <c r="J33" i="3"/>
  <c r="L33" i="3"/>
  <c r="L19" i="3"/>
  <c r="L13" i="6" s="1"/>
  <c r="B19" i="7" l="1"/>
  <c r="D19" i="7" s="1"/>
  <c r="D18" i="7"/>
  <c r="E18" i="7" s="1"/>
  <c r="F40" i="3"/>
  <c r="F20" i="6" s="1"/>
  <c r="F44" i="3"/>
  <c r="F48" i="3" s="1"/>
  <c r="F50" i="3" s="1"/>
  <c r="F8" i="6"/>
  <c r="E34" i="3"/>
  <c r="E15" i="6" s="1"/>
  <c r="E39" i="3"/>
  <c r="E40" i="3" s="1"/>
  <c r="G8" i="6"/>
  <c r="F16" i="6"/>
  <c r="I8" i="6"/>
  <c r="D37" i="3"/>
  <c r="F34" i="3"/>
  <c r="F15" i="6" s="1"/>
  <c r="F37" i="3"/>
  <c r="D39" i="3"/>
  <c r="E9" i="6" s="1"/>
  <c r="E8" i="6"/>
  <c r="K34" i="3"/>
  <c r="K15" i="6" s="1"/>
  <c r="K8" i="6"/>
  <c r="L8" i="6"/>
  <c r="H34" i="3"/>
  <c r="H15" i="6" s="1"/>
  <c r="H8" i="6"/>
  <c r="J8" i="6"/>
  <c r="F9" i="6"/>
  <c r="D8" i="6"/>
  <c r="K39" i="3"/>
  <c r="K37" i="3"/>
  <c r="E72" i="3"/>
  <c r="C72" i="3"/>
  <c r="F72" i="3"/>
  <c r="H39" i="3"/>
  <c r="H37" i="3"/>
  <c r="C39" i="3"/>
  <c r="C44" i="3" s="1"/>
  <c r="C37" i="3"/>
  <c r="J39" i="3"/>
  <c r="J34" i="3"/>
  <c r="J15" i="6" s="1"/>
  <c r="J37" i="3"/>
  <c r="L34" i="3"/>
  <c r="L15" i="6" s="1"/>
  <c r="L39" i="3"/>
  <c r="L9" i="6" s="1"/>
  <c r="L37" i="3"/>
  <c r="I34" i="3"/>
  <c r="I15" i="6" s="1"/>
  <c r="I39" i="3"/>
  <c r="I37" i="3"/>
  <c r="G34" i="3"/>
  <c r="G15" i="6" s="1"/>
  <c r="G39" i="3"/>
  <c r="G9" i="6" s="1"/>
  <c r="G37" i="3"/>
  <c r="E19" i="7" l="1"/>
  <c r="D44" i="3"/>
  <c r="D45" i="3" s="1"/>
  <c r="D40" i="3"/>
  <c r="E44" i="3"/>
  <c r="F45" i="3" s="1"/>
  <c r="D9" i="6"/>
  <c r="D16" i="6"/>
  <c r="D20" i="6"/>
  <c r="E16" i="6"/>
  <c r="E20" i="6"/>
  <c r="K40" i="3"/>
  <c r="K9" i="6"/>
  <c r="H40" i="3"/>
  <c r="H9" i="6"/>
  <c r="I9" i="6"/>
  <c r="J9" i="6"/>
  <c r="K44" i="3"/>
  <c r="K48" i="3" s="1"/>
  <c r="K50" i="3" s="1"/>
  <c r="D72" i="3"/>
  <c r="I72" i="3"/>
  <c r="H44" i="3"/>
  <c r="H48" i="3" s="1"/>
  <c r="H50" i="3" s="1"/>
  <c r="C40" i="3"/>
  <c r="L40" i="3"/>
  <c r="L44" i="3"/>
  <c r="J40" i="3"/>
  <c r="J44" i="3"/>
  <c r="C48" i="3"/>
  <c r="C50" i="3" s="1"/>
  <c r="D23" i="6" s="1"/>
  <c r="I44" i="3"/>
  <c r="I40" i="3"/>
  <c r="G40" i="3"/>
  <c r="G44" i="3"/>
  <c r="N23" i="6" l="1"/>
  <c r="D25" i="6"/>
  <c r="O23" i="6"/>
  <c r="K45" i="3"/>
  <c r="D48" i="3"/>
  <c r="D50" i="3" s="1"/>
  <c r="E45" i="3"/>
  <c r="E48" i="3"/>
  <c r="E50" i="3" s="1"/>
  <c r="G16" i="6"/>
  <c r="G20" i="6"/>
  <c r="L16" i="6"/>
  <c r="L20" i="6"/>
  <c r="I16" i="6"/>
  <c r="I20" i="6"/>
  <c r="H16" i="6"/>
  <c r="H20" i="6"/>
  <c r="K16" i="6"/>
  <c r="K20" i="6"/>
  <c r="J16" i="6"/>
  <c r="J20" i="6"/>
  <c r="J72" i="3"/>
  <c r="L72" i="3"/>
  <c r="K72" i="3"/>
  <c r="H45" i="3"/>
  <c r="I48" i="3"/>
  <c r="I50" i="3" s="1"/>
  <c r="I45" i="3"/>
  <c r="J45" i="3"/>
  <c r="J48" i="3"/>
  <c r="J50" i="3" s="1"/>
  <c r="G45" i="3"/>
  <c r="G48" i="3"/>
  <c r="G50" i="3" s="1"/>
  <c r="L45" i="3"/>
  <c r="L48" i="3"/>
  <c r="L50" i="3" s="1"/>
  <c r="M45" i="3"/>
  <c r="N25" i="6" l="1"/>
  <c r="O25" i="6"/>
  <c r="G72" i="3"/>
  <c r="H72" i="3"/>
</calcChain>
</file>

<file path=xl/sharedStrings.xml><?xml version="1.0" encoding="utf-8"?>
<sst xmlns="http://schemas.openxmlformats.org/spreadsheetml/2006/main" count="493" uniqueCount="334">
  <si>
    <t>COMPANY NAME</t>
  </si>
  <si>
    <t>STYLAM INDUSTRIES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</si>
  <si>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</si>
  <si>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</si>
  <si>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</si>
  <si>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</si>
  <si>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</si>
  <si>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</si>
  <si>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</si>
  <si>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</si>
  <si>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</si>
  <si>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</si>
  <si>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</si>
  <si>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</si>
  <si>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</si>
  <si>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</si>
  <si>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</si>
  <si>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</si>
  <si>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</si>
  <si>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</si>
  <si>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</si>
  <si>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</si>
  <si>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</si>
  <si>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</si>
  <si>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</si>
  <si>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</si>
  <si>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</si>
  <si>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</si>
  <si>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</si>
  <si>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</si>
  <si>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</si>
  <si>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</si>
  <si>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</si>
  <si>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</si>
  <si>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</si>
  <si>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</si>
  <si>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</si>
  <si>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</si>
  <si>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</si>
  <si>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</si>
  <si>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</si>
  <si>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</si>
  <si>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</si>
  <si>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</si>
  <si>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</si>
  <si>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</si>
  <si>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</si>
  <si>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</si>
  <si>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</si>
  <si>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</si>
  <si>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</si>
  <si>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</si>
  <si>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</si>
  <si>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</si>
  <si>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</si>
  <si>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</si>
  <si>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Sales Growth</t>
  </si>
  <si>
    <t>COGS</t>
  </si>
  <si>
    <t>COGS % Sales</t>
  </si>
  <si>
    <t>Gross Profit</t>
  </si>
  <si>
    <t>Gross Margin</t>
  </si>
  <si>
    <t xml:space="preserve">Selling and General Expenses </t>
  </si>
  <si>
    <t>S&amp;G Exp % Sales</t>
  </si>
  <si>
    <t>EBITDA</t>
  </si>
  <si>
    <t>EBITDA Margin</t>
  </si>
  <si>
    <t>Depreciation % Sales</t>
  </si>
  <si>
    <t>Interest % Sales</t>
  </si>
  <si>
    <t xml:space="preserve">Other Income </t>
  </si>
  <si>
    <t>Other Income % Sales</t>
  </si>
  <si>
    <t>Earning Before Tax</t>
  </si>
  <si>
    <t>EBT % Sales</t>
  </si>
  <si>
    <t>Effective Tax Rate</t>
  </si>
  <si>
    <t>Net Income</t>
  </si>
  <si>
    <t>Net Profit Margin</t>
  </si>
  <si>
    <t>No of Shares</t>
  </si>
  <si>
    <t>EPS</t>
  </si>
  <si>
    <t>EPS Growth %</t>
  </si>
  <si>
    <t>Dividend Per Share</t>
  </si>
  <si>
    <t>Dividend Payout Ratio</t>
  </si>
  <si>
    <t>Retained Earnings</t>
  </si>
  <si>
    <t>#</t>
  </si>
  <si>
    <t>Income Statement</t>
  </si>
  <si>
    <t>Total Liabilities</t>
  </si>
  <si>
    <t>Fixed Asset Net Block</t>
  </si>
  <si>
    <t>Total Non Current Assets</t>
  </si>
  <si>
    <t>Total Current Assets</t>
  </si>
  <si>
    <t>Total Assets</t>
  </si>
  <si>
    <t>Check</t>
  </si>
  <si>
    <t>Cash Flow Sttement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</si>
  <si>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</si>
  <si>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</si>
  <si>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</si>
  <si>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</si>
  <si>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</si>
  <si>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</si>
  <si>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Other operating items</t>
  </si>
  <si>
    <t>Fixed assets purchased</t>
  </si>
  <si>
    <t>Fixed assets sold</t>
  </si>
  <si>
    <t>Capital WIP</t>
  </si>
  <si>
    <t>Investments purchased</t>
  </si>
  <si>
    <t>Investments sold</t>
  </si>
  <si>
    <t>Interest received</t>
  </si>
  <si>
    <t>Invest in subsidiaries</t>
  </si>
  <si>
    <t>Other investing items</t>
  </si>
  <si>
    <t>Proceeds from shares</t>
  </si>
  <si>
    <t>Proceeds from borrowings</t>
  </si>
  <si>
    <t>Repayment of borrowings</t>
  </si>
  <si>
    <t>Interest paid fin</t>
  </si>
  <si>
    <t>Other financing items</t>
  </si>
  <si>
    <t>Cash from Operating Activity -</t>
  </si>
  <si>
    <t>Cash from Investing Activity -</t>
  </si>
  <si>
    <t>Cash from Financing Activity -</t>
  </si>
  <si>
    <t>Operating Activity</t>
  </si>
  <si>
    <t>Investing Activity</t>
  </si>
  <si>
    <t>Cash From Invesing Activity</t>
  </si>
  <si>
    <t>Financing Activity</t>
  </si>
  <si>
    <t>Cash From Financing Activity</t>
  </si>
  <si>
    <t xml:space="preserve">Cash from Operating Activity </t>
  </si>
  <si>
    <t>Balance Sheet Statement</t>
  </si>
  <si>
    <t>EBITDA Growth</t>
  </si>
  <si>
    <t>EBIT Growth</t>
  </si>
  <si>
    <t>EBT Growth</t>
  </si>
  <si>
    <t>Net Profit Growth</t>
  </si>
  <si>
    <t>Dividend Growth</t>
  </si>
  <si>
    <t xml:space="preserve">Gross Margin </t>
  </si>
  <si>
    <t>EBIT Margin</t>
  </si>
  <si>
    <t>EBT Margin</t>
  </si>
  <si>
    <t>Sales Expense%Sales</t>
  </si>
  <si>
    <t>Depreciation%Sales</t>
  </si>
  <si>
    <t>Operaing Income%Sales</t>
  </si>
  <si>
    <t>ROCE</t>
  </si>
  <si>
    <t xml:space="preserve"> Return On Equity%</t>
  </si>
  <si>
    <t>Self Sustained Growth Rate%</t>
  </si>
  <si>
    <t>Interest Coverage Ratio</t>
  </si>
  <si>
    <t>Retained Earning%</t>
  </si>
  <si>
    <t xml:space="preserve">EBIT </t>
  </si>
  <si>
    <t>EBIT % Sales</t>
  </si>
  <si>
    <t>Debtor Turnover Ratio</t>
  </si>
  <si>
    <t>Creditor Turnover Ratio</t>
  </si>
  <si>
    <t>Inventory Turnover Ratio</t>
  </si>
  <si>
    <t>Fixed Asset Turnover Ratio</t>
  </si>
  <si>
    <t>Capital Turnover Ratio</t>
  </si>
  <si>
    <t>Debtor Days</t>
  </si>
  <si>
    <t>Creditor Days</t>
  </si>
  <si>
    <t>Inventory Days</t>
  </si>
  <si>
    <t>CFO/EBITDA</t>
  </si>
  <si>
    <t>CFO/Sales</t>
  </si>
  <si>
    <t>CFO/Total Asset</t>
  </si>
  <si>
    <t>CFO/Total Debt</t>
  </si>
  <si>
    <t>Mean</t>
  </si>
  <si>
    <t>Median</t>
  </si>
  <si>
    <t>Trend</t>
  </si>
  <si>
    <t>Year Weight</t>
  </si>
  <si>
    <t>Year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</si>
  <si>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</si>
  <si>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</si>
  <si>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</si>
  <si>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</si>
  <si>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</si>
  <si>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</si>
  <si>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</si>
  <si>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</si>
  <si>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</si>
  <si>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</si>
  <si>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</si>
  <si>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</si>
  <si>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</si>
  <si>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</si>
  <si>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</si>
  <si>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</si>
  <si>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</si>
  <si>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</si>
  <si>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</si>
  <si>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</si>
  <si>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</si>
  <si>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</si>
  <si>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</si>
  <si>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</si>
  <si>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Peer Comps</t>
  </si>
  <si>
    <t>Name of The Company</t>
  </si>
  <si>
    <t>Country</t>
  </si>
  <si>
    <t>Total Debt</t>
  </si>
  <si>
    <t>Total Equity</t>
  </si>
  <si>
    <r>
      <t>Tax Rate</t>
    </r>
    <r>
      <rPr>
        <vertAlign val="superscript"/>
        <sz val="11"/>
        <color theme="1"/>
        <rFont val="Calibri"/>
        <family val="2"/>
      </rPr>
      <t>1</t>
    </r>
  </si>
  <si>
    <t>Debt/</t>
  </si>
  <si>
    <t>Equity</t>
  </si>
  <si>
    <t>Capital</t>
  </si>
  <si>
    <t>Levered</t>
  </si>
  <si>
    <r>
      <t>Beta</t>
    </r>
    <r>
      <rPr>
        <vertAlign val="superscript"/>
        <sz val="11"/>
        <color theme="1"/>
        <rFont val="Calibri"/>
        <family val="2"/>
      </rPr>
      <t>2</t>
    </r>
  </si>
  <si>
    <r>
      <t>Beta</t>
    </r>
    <r>
      <rPr>
        <vertAlign val="superscript"/>
        <sz val="11"/>
        <color theme="1"/>
        <rFont val="Calibri"/>
        <family val="2"/>
      </rPr>
      <t>3</t>
    </r>
  </si>
  <si>
    <t>India</t>
  </si>
  <si>
    <t>Average</t>
  </si>
  <si>
    <t>Cost of Debt</t>
  </si>
  <si>
    <t>Pre-Tax Cost of Debt</t>
  </si>
  <si>
    <t>Tax Rate</t>
  </si>
  <si>
    <t>Post Tax Cost of Debt</t>
  </si>
  <si>
    <t>Cost of Equity</t>
  </si>
  <si>
    <t>Risk Free Rate</t>
  </si>
  <si>
    <t>Equity Risk Premium</t>
  </si>
  <si>
    <r>
      <t>Levered Beta</t>
    </r>
    <r>
      <rPr>
        <vertAlign val="superscript"/>
        <sz val="11"/>
        <color theme="1"/>
        <rFont val="Calibri"/>
        <family val="2"/>
      </rPr>
      <t>4</t>
    </r>
  </si>
  <si>
    <t>Capital Structure</t>
  </si>
  <si>
    <t>Current</t>
  </si>
  <si>
    <t>Target</t>
  </si>
  <si>
    <t>Total Capital</t>
  </si>
  <si>
    <t>Levered Beta</t>
  </si>
  <si>
    <t>Comps Median Unlevered Beta</t>
  </si>
  <si>
    <t>Target Debt/ Equity</t>
  </si>
  <si>
    <t>Debt / Equity</t>
  </si>
  <si>
    <t>Weighted Average Cost of Capital</t>
  </si>
  <si>
    <t>Notes:</t>
  </si>
  <si>
    <t>1. Tax Rate considered as Marginal Tax Rate for the country</t>
  </si>
  <si>
    <t>2.Levered beta is based on 5 year monthly data</t>
  </si>
  <si>
    <t>3.Unlevered Beta = Levered Beta/(1+(1-Tax Rate)*Debt/Equity</t>
  </si>
  <si>
    <t>4.Unlevered Beta = Levered Beta/(1+(1- Tax Rate)*Debt/Equity)</t>
  </si>
  <si>
    <t>Date</t>
  </si>
  <si>
    <t>Nifty50</t>
  </si>
  <si>
    <t>Daily Return</t>
  </si>
  <si>
    <t>Beta</t>
  </si>
  <si>
    <t>Beta Drifting</t>
  </si>
  <si>
    <t xml:space="preserve">Levered Raw Beta </t>
  </si>
  <si>
    <t>Closing Price</t>
  </si>
  <si>
    <t>Stylam Industries Limited</t>
  </si>
  <si>
    <t>Raw Beta Weight</t>
  </si>
  <si>
    <t>Market Beta Weight</t>
  </si>
  <si>
    <t xml:space="preserve">Market Beta  </t>
  </si>
  <si>
    <t>Adjusted Beta</t>
  </si>
  <si>
    <t>Regression  Beta - 4 Years Daily</t>
  </si>
  <si>
    <t>S.No.</t>
  </si>
  <si>
    <t>Name</t>
  </si>
  <si>
    <t>Debt / Eq</t>
  </si>
  <si>
    <t>Century Plyboard</t>
  </si>
  <si>
    <t>Greenlam Industr</t>
  </si>
  <si>
    <t>Stylam Industrie</t>
  </si>
  <si>
    <t>Greenply Industr</t>
  </si>
  <si>
    <t>Greenpanel Inds.</t>
  </si>
  <si>
    <t>Debt Rs.Cr.</t>
  </si>
  <si>
    <t>Mar Cap Rs.Cr.</t>
  </si>
  <si>
    <t>Levered RawBeta</t>
  </si>
  <si>
    <t>Unlevered</t>
  </si>
  <si>
    <t>All figures are in INR Cr.</t>
  </si>
  <si>
    <t>Annual</t>
  </si>
  <si>
    <t>Average Return</t>
  </si>
  <si>
    <t>Dividend Yield</t>
  </si>
  <si>
    <t>Total Return</t>
  </si>
  <si>
    <t>Return on Market (Nifty50)</t>
  </si>
  <si>
    <t>Equity Weight</t>
  </si>
  <si>
    <t xml:space="preserve">Cost of Debt </t>
  </si>
  <si>
    <t>Debt Weight</t>
  </si>
  <si>
    <t>WACC</t>
  </si>
  <si>
    <t>Weighted Averae Cost of Capital</t>
  </si>
  <si>
    <t>Equity Capital</t>
  </si>
  <si>
    <r>
      <t>Borrowings </t>
    </r>
    <r>
      <rPr>
        <sz val="11"/>
        <color rgb="FF665EFD"/>
        <rFont val="Arial"/>
        <family val="2"/>
      </rPr>
      <t>-</t>
    </r>
  </si>
  <si>
    <t>Long term Borrowings</t>
  </si>
  <si>
    <t>Short term Borrowings</t>
  </si>
  <si>
    <t>Other Borrowings</t>
  </si>
  <si>
    <r>
      <t>Other Liabilities </t>
    </r>
    <r>
      <rPr>
        <sz val="11"/>
        <color rgb="FF665EFD"/>
        <rFont val="Arial"/>
        <family val="2"/>
      </rPr>
      <t>-</t>
    </r>
  </si>
  <si>
    <t>Trade Payables</t>
  </si>
  <si>
    <t>Advance from Customers</t>
  </si>
  <si>
    <t>Other liability items</t>
  </si>
  <si>
    <r>
      <t>Fixed Assets </t>
    </r>
    <r>
      <rPr>
        <sz val="11"/>
        <color rgb="FF665EFD"/>
        <rFont val="Arial"/>
        <family val="2"/>
      </rPr>
      <t>-</t>
    </r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</si>
  <si>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</si>
  <si>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</si>
  <si>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</si>
  <si>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</si>
  <si>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</si>
  <si>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</si>
  <si>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</si>
  <si>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</si>
  <si>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</si>
  <si>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</si>
  <si>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</si>
  <si>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</si>
  <si>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r>
      <t>Other Assets </t>
    </r>
    <r>
      <rPr>
        <sz val="11"/>
        <color rgb="FF665EFD"/>
        <rFont val="Arial"/>
        <family val="2"/>
      </rPr>
      <t>-</t>
    </r>
  </si>
  <si>
    <t>Inventories</t>
  </si>
  <si>
    <t>Trade receivables</t>
  </si>
  <si>
    <t>Cash Equivalents</t>
  </si>
  <si>
    <t>Loans n Advances</t>
  </si>
  <si>
    <t>Other asset items</t>
  </si>
  <si>
    <t>Particulars</t>
  </si>
  <si>
    <t>Current Asset</t>
  </si>
  <si>
    <t>Trade Receivables</t>
  </si>
  <si>
    <t>Total Current Asset</t>
  </si>
  <si>
    <t>Curent Liabilities</t>
  </si>
  <si>
    <t>Total Current Liabilities</t>
  </si>
  <si>
    <t>Net Working Capital</t>
  </si>
  <si>
    <t>Fixed Assets-</t>
  </si>
  <si>
    <t>Net Non Current Assets</t>
  </si>
  <si>
    <t xml:space="preserve"> Invested Capital</t>
  </si>
  <si>
    <t>EBIT</t>
  </si>
  <si>
    <t>ROIC</t>
  </si>
  <si>
    <t>Calculation of Reinvestment Rate</t>
  </si>
  <si>
    <t xml:space="preserve">Net CapEx </t>
  </si>
  <si>
    <t>Balancesheet -</t>
  </si>
  <si>
    <t>Cash Flow -</t>
  </si>
  <si>
    <r>
      <t>Cash from Operating Activity </t>
    </r>
    <r>
      <rPr>
        <sz val="11"/>
        <color rgb="FF665EFD"/>
        <rFont val="Arial"/>
        <family val="2"/>
      </rPr>
      <t>-</t>
    </r>
  </si>
  <si>
    <r>
      <t>Cash from Investing Activity </t>
    </r>
    <r>
      <rPr>
        <sz val="11"/>
        <color rgb="FF665EFD"/>
        <rFont val="Arial"/>
        <family val="2"/>
      </rPr>
      <t>-</t>
    </r>
  </si>
  <si>
    <r>
      <t>Cash from Financing Activity </t>
    </r>
    <r>
      <rPr>
        <sz val="11"/>
        <color rgb="FF665EFD"/>
        <rFont val="Arial"/>
        <family val="2"/>
      </rPr>
      <t>-</t>
    </r>
  </si>
  <si>
    <t>Changew in Working Capital</t>
  </si>
  <si>
    <t>Marginal Tax Rate</t>
  </si>
  <si>
    <t xml:space="preserve">Reinvestment </t>
  </si>
  <si>
    <t>EBIT (1- Tax)</t>
  </si>
  <si>
    <t>Reinvestmeant Rate</t>
  </si>
  <si>
    <t xml:space="preserve"> </t>
  </si>
  <si>
    <t xml:space="preserve">4 Year Average </t>
  </si>
  <si>
    <t>4 year Median</t>
  </si>
  <si>
    <t xml:space="preserve">Calculation of Growth Rate </t>
  </si>
  <si>
    <t xml:space="preserve">Reinvestment Rate </t>
  </si>
  <si>
    <t xml:space="preserve">Intrensic Growth </t>
  </si>
  <si>
    <t>4 Year Median</t>
  </si>
  <si>
    <t>Calculation of FCFF</t>
  </si>
  <si>
    <t>EBIT(1-T)</t>
  </si>
  <si>
    <t>less: Reinvestment Rate</t>
  </si>
  <si>
    <t>Free Cash Flow to Firm (FCFF)</t>
  </si>
  <si>
    <t>Mid Year Convention</t>
  </si>
  <si>
    <t>Discounting Factor</t>
  </si>
  <si>
    <t>PV of FCFF</t>
  </si>
  <si>
    <t xml:space="preserve">Expected Growth </t>
  </si>
  <si>
    <t xml:space="preserve">Terminal Growth </t>
  </si>
  <si>
    <t>Calculation of Terminal Value</t>
  </si>
  <si>
    <t>FCFF (n+1)</t>
  </si>
  <si>
    <t>Terminal Growth Ra</t>
  </si>
  <si>
    <t>Terminal Value</t>
  </si>
  <si>
    <t xml:space="preserve">PV of FCFF </t>
  </si>
  <si>
    <t>PV of Terminal Value</t>
  </si>
  <si>
    <t>Enterprise Value</t>
  </si>
  <si>
    <t>Add: Cash</t>
  </si>
  <si>
    <t>Less: Debt</t>
  </si>
  <si>
    <t>Value of Equity</t>
  </si>
  <si>
    <t>Calculation of Equity Value Per Share</t>
  </si>
  <si>
    <t>Equity Value Per Share</t>
  </si>
  <si>
    <t>Share Price</t>
  </si>
  <si>
    <t>Discount/Premium</t>
  </si>
  <si>
    <t>Premium</t>
  </si>
  <si>
    <t>10 year goernment bond - country default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</si>
</sst>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.0"/>
    <numFmt numFmtId="167" formatCode="&quot;₹&quot;\ #,##0.00"/>
    <numFmt numFmtId="168" formatCode="&quot;₹&quot;\ #,##0;&quot;₹&quot;\ \(#,##0\);0"/>
    <numFmt numFmtId="169" formatCode="0.0&quot;x&quot;"/>
    <numFmt numFmtId="170" formatCode="yyyy&quot;A&quot;"/>
    <numFmt numFmtId="171" formatCode="yyyy&quot;E&quot;"/>
    <numFmt numFmtId="172" formatCode="#,##0.0"/>
    <numFmt numFmtId="173" formatCode="0.0"/>
    <numFmt numFmtId="174" formatCode="0.000"/>
    <numFmt numFmtId="175" formatCode="mmm/yy&quot;A&quot;"/>
    <numFmt numFmtId="176" formatCode="mmm/yy&quot;F&quot;"/>
  </numFmts>
  <fonts count="2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u/>
      <sz val="11"/>
      <color theme="10"/>
      <name val="Calibri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i/>
      <sz val="11"/>
      <color theme="0" tint="-0.34998626667073579"/>
      <name val="Calibri"/>
      <family val="2"/>
    </font>
    <font>
      <i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rgb="FF3333FF"/>
      <name val="Calibri"/>
      <family val="2"/>
    </font>
    <font>
      <i/>
      <sz val="8"/>
      <color theme="1"/>
      <name val="Calibri"/>
      <family val="2"/>
    </font>
    <font>
      <b/>
      <i/>
      <sz val="10"/>
      <color theme="1"/>
      <name val="Calibri"/>
      <family val="2"/>
    </font>
    <font>
      <b/>
      <sz val="12"/>
      <color theme="0"/>
      <name val="Calibri"/>
      <family val="2"/>
    </font>
    <font>
      <sz val="11"/>
      <color rgb="FF22222F"/>
      <name val="Arial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sz val="11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0" tint="-4.9989318521683403E-2"/>
        <bgColor indexed="64"/>
      </patternFill>
    </fill>
  </fills>
  <borders count="22">
    <border>
      <left/>
      <right/>
      <top/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rgb="FFDBE4F0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hair">
        <color rgb="FF002060"/>
      </top>
      <bottom style="thin">
        <color rgb="FF002060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174">
    <xf numFmtId="0" fontId="0" fillId="0" borderId="0" xfId="0"/>
    <xf numFmtId="43" fontId="6" fillId="0" borderId="0" xfId="1" applyFont="1" applyBorder="1"/>
    <xf numFmtId="43" fontId="8" fillId="0" borderId="0" xfId="1" applyFont="1" applyBorder="1"/>
    <xf numFmtId="0" fontId="8" fillId="0" borderId="0" xfId="0" applyFont="1"/>
    <xf numFmtId="164" fontId="9" fillId="3" borderId="0" xfId="1" applyNumberFormat="1" applyFont="1" applyFill="1" applyBorder="1"/>
    <xf numFmtId="164" fontId="9" fillId="3" borderId="0" xfId="0" applyNumberFormat="1" applyFont="1" applyFill="1" applyAlignment="1">
      <alignment horizontal="center"/>
    </xf>
    <xf numFmtId="164" fontId="10" fillId="0" borderId="0" xfId="1" applyNumberFormat="1" applyFont="1" applyFill="1" applyBorder="1"/>
    <xf numFmtId="165" fontId="8" fillId="0" borderId="0" xfId="1" applyNumberFormat="1" applyFont="1" applyBorder="1"/>
    <xf numFmtId="0" fontId="3" fillId="0" borderId="0" xfId="0" applyFont="1"/>
    <xf numFmtId="0" fontId="2" fillId="4" borderId="0" xfId="0" applyFont="1" applyFill="1"/>
    <xf numFmtId="17" fontId="2" fillId="4" borderId="0" xfId="0" applyNumberFormat="1" applyFont="1" applyFill="1"/>
    <xf numFmtId="0" fontId="2" fillId="4" borderId="0" xfId="0" applyFont="1" applyFill="1" applyAlignment="1">
      <alignment horizontal="right"/>
    </xf>
    <xf numFmtId="166" fontId="0" fillId="0" borderId="0" xfId="0" applyNumberFormat="1"/>
    <xf numFmtId="9" fontId="0" fillId="0" borderId="0" xfId="2" applyFont="1"/>
    <xf numFmtId="167" fontId="0" fillId="0" borderId="0" xfId="0" applyNumberFormat="1"/>
    <xf numFmtId="0" fontId="11" fillId="0" borderId="0" xfId="0" applyFont="1"/>
    <xf numFmtId="9" fontId="11" fillId="0" borderId="0" xfId="2" applyFont="1"/>
    <xf numFmtId="0" fontId="0" fillId="5" borderId="0" xfId="0" applyFill="1"/>
    <xf numFmtId="0" fontId="2" fillId="5" borderId="0" xfId="0" applyFont="1" applyFill="1"/>
    <xf numFmtId="17" fontId="2" fillId="5" borderId="0" xfId="0" applyNumberFormat="1" applyFont="1" applyFill="1"/>
    <xf numFmtId="0" fontId="2" fillId="5" borderId="0" xfId="0" applyFont="1" applyFill="1" applyAlignment="1">
      <alignment horizontal="right"/>
    </xf>
    <xf numFmtId="0" fontId="3" fillId="6" borderId="0" xfId="0" applyFont="1" applyFill="1" applyAlignment="1">
      <alignment vertical="center"/>
    </xf>
    <xf numFmtId="0" fontId="3" fillId="6" borderId="0" xfId="0" applyFont="1" applyFill="1"/>
    <xf numFmtId="43" fontId="6" fillId="0" borderId="0" xfId="1" applyFont="1" applyFill="1" applyBorder="1"/>
    <xf numFmtId="167" fontId="3" fillId="0" borderId="0" xfId="0" applyNumberFormat="1" applyFont="1"/>
    <xf numFmtId="17" fontId="0" fillId="0" borderId="0" xfId="0" applyNumberFormat="1"/>
    <xf numFmtId="168" fontId="0" fillId="0" borderId="0" xfId="0" applyNumberFormat="1"/>
    <xf numFmtId="168" fontId="3" fillId="0" borderId="0" xfId="0" applyNumberFormat="1" applyFont="1"/>
    <xf numFmtId="10" fontId="0" fillId="0" borderId="0" xfId="0" applyNumberFormat="1"/>
    <xf numFmtId="10" fontId="0" fillId="0" borderId="0" xfId="2" applyNumberFormat="1" applyFont="1" applyBorder="1"/>
    <xf numFmtId="0" fontId="0" fillId="0" borderId="1" xfId="0" applyBorder="1"/>
    <xf numFmtId="10" fontId="0" fillId="0" borderId="1" xfId="2" applyNumberFormat="1" applyFont="1" applyBorder="1"/>
    <xf numFmtId="0" fontId="0" fillId="0" borderId="2" xfId="0" applyBorder="1"/>
    <xf numFmtId="10" fontId="0" fillId="0" borderId="2" xfId="2" applyNumberFormat="1" applyFont="1" applyBorder="1"/>
    <xf numFmtId="169" fontId="0" fillId="0" borderId="2" xfId="0" applyNumberFormat="1" applyBorder="1"/>
    <xf numFmtId="169" fontId="0" fillId="0" borderId="1" xfId="0" applyNumberFormat="1" applyBorder="1"/>
    <xf numFmtId="169" fontId="0" fillId="0" borderId="0" xfId="0" applyNumberFormat="1"/>
    <xf numFmtId="1" fontId="0" fillId="0" borderId="1" xfId="0" applyNumberFormat="1" applyBorder="1"/>
    <xf numFmtId="1" fontId="0" fillId="0" borderId="0" xfId="0" applyNumberFormat="1"/>
    <xf numFmtId="1" fontId="0" fillId="0" borderId="2" xfId="0" applyNumberFormat="1" applyBorder="1"/>
    <xf numFmtId="17" fontId="2" fillId="4" borderId="0" xfId="0" applyNumberFormat="1" applyFont="1" applyFill="1" applyAlignment="1">
      <alignment horizontal="center"/>
    </xf>
    <xf numFmtId="170" fontId="0" fillId="0" borderId="0" xfId="0" applyNumberFormat="1"/>
    <xf numFmtId="0" fontId="0" fillId="7" borderId="0" xfId="0" applyFill="1"/>
    <xf numFmtId="9" fontId="0" fillId="7" borderId="0" xfId="2" applyFont="1" applyFill="1"/>
    <xf numFmtId="0" fontId="0" fillId="0" borderId="3" xfId="0" applyBorder="1"/>
    <xf numFmtId="0" fontId="12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Continuous"/>
    </xf>
    <xf numFmtId="171" fontId="3" fillId="7" borderId="0" xfId="0" applyNumberFormat="1" applyFont="1" applyFill="1"/>
    <xf numFmtId="0" fontId="0" fillId="0" borderId="5" xfId="0" applyBorder="1"/>
    <xf numFmtId="0" fontId="14" fillId="0" borderId="0" xfId="0" applyFont="1"/>
    <xf numFmtId="0" fontId="0" fillId="0" borderId="6" xfId="0" applyBorder="1"/>
    <xf numFmtId="0" fontId="0" fillId="0" borderId="5" xfId="0" applyBorder="1" applyAlignment="1">
      <alignment horizontal="center"/>
    </xf>
    <xf numFmtId="0" fontId="3" fillId="0" borderId="5" xfId="0" applyFont="1" applyBorder="1"/>
    <xf numFmtId="9" fontId="1" fillId="0" borderId="0" xfId="2" applyFont="1"/>
    <xf numFmtId="9" fontId="0" fillId="0" borderId="0" xfId="0" applyNumberFormat="1"/>
    <xf numFmtId="9" fontId="14" fillId="0" borderId="0" xfId="0" applyNumberFormat="1" applyFont="1"/>
    <xf numFmtId="9" fontId="0" fillId="0" borderId="1" xfId="2" applyFont="1" applyBorder="1"/>
    <xf numFmtId="0" fontId="15" fillId="0" borderId="0" xfId="0" applyFont="1"/>
    <xf numFmtId="0" fontId="15" fillId="0" borderId="0" xfId="0" applyFont="1" applyAlignment="1">
      <alignment vertical="top"/>
    </xf>
    <xf numFmtId="0" fontId="0" fillId="0" borderId="0" xfId="0" applyAlignment="1">
      <alignment vertical="top"/>
    </xf>
    <xf numFmtId="14" fontId="0" fillId="0" borderId="0" xfId="0" applyNumberFormat="1"/>
    <xf numFmtId="4" fontId="0" fillId="0" borderId="0" xfId="0" applyNumberFormat="1"/>
    <xf numFmtId="172" fontId="0" fillId="0" borderId="0" xfId="0" applyNumberFormat="1"/>
    <xf numFmtId="10" fontId="0" fillId="0" borderId="0" xfId="2" applyNumberFormat="1" applyFont="1"/>
    <xf numFmtId="0" fontId="2" fillId="8" borderId="0" xfId="0" applyFont="1" applyFill="1"/>
    <xf numFmtId="2" fontId="0" fillId="7" borderId="0" xfId="2" applyNumberFormat="1" applyFont="1" applyFill="1"/>
    <xf numFmtId="0" fontId="0" fillId="7" borderId="3" xfId="0" applyFill="1" applyBorder="1"/>
    <xf numFmtId="2" fontId="0" fillId="0" borderId="0" xfId="0" applyNumberFormat="1"/>
    <xf numFmtId="0" fontId="3" fillId="5" borderId="5" xfId="0" applyFont="1" applyFill="1" applyBorder="1"/>
    <xf numFmtId="0" fontId="3" fillId="0" borderId="0" xfId="0" applyFont="1" applyAlignment="1">
      <alignment vertical="top"/>
    </xf>
    <xf numFmtId="2" fontId="0" fillId="7" borderId="0" xfId="0" applyNumberFormat="1" applyFill="1"/>
    <xf numFmtId="2" fontId="0" fillId="5" borderId="0" xfId="0" applyNumberFormat="1" applyFill="1"/>
    <xf numFmtId="0" fontId="4" fillId="4" borderId="0" xfId="0" applyFont="1" applyFill="1"/>
    <xf numFmtId="2" fontId="3" fillId="7" borderId="0" xfId="0" applyNumberFormat="1" applyFont="1" applyFill="1"/>
    <xf numFmtId="0" fontId="3" fillId="9" borderId="0" xfId="0" applyFont="1" applyFill="1" applyAlignment="1">
      <alignment vertical="top"/>
    </xf>
    <xf numFmtId="0" fontId="0" fillId="9" borderId="0" xfId="0" applyFill="1"/>
    <xf numFmtId="10" fontId="14" fillId="0" borderId="0" xfId="2" applyNumberFormat="1" applyFont="1"/>
    <xf numFmtId="2" fontId="0" fillId="0" borderId="5" xfId="0" applyNumberFormat="1" applyBorder="1"/>
    <xf numFmtId="2" fontId="0" fillId="0" borderId="6" xfId="0" applyNumberFormat="1" applyBorder="1"/>
    <xf numFmtId="0" fontId="16" fillId="0" borderId="0" xfId="0" applyFont="1" applyAlignment="1">
      <alignment vertical="top"/>
    </xf>
    <xf numFmtId="9" fontId="0" fillId="7" borderId="0" xfId="0" applyNumberFormat="1" applyFill="1"/>
    <xf numFmtId="10" fontId="0" fillId="7" borderId="0" xfId="0" applyNumberFormat="1" applyFill="1"/>
    <xf numFmtId="2" fontId="0" fillId="0" borderId="1" xfId="0" applyNumberFormat="1" applyBorder="1"/>
    <xf numFmtId="10" fontId="14" fillId="0" borderId="0" xfId="0" applyNumberFormat="1" applyFont="1"/>
    <xf numFmtId="10" fontId="3" fillId="7" borderId="0" xfId="0" applyNumberFormat="1" applyFont="1" applyFill="1"/>
    <xf numFmtId="0" fontId="3" fillId="0" borderId="1" xfId="0" applyFont="1" applyBorder="1"/>
    <xf numFmtId="9" fontId="14" fillId="5" borderId="0" xfId="0" applyNumberFormat="1" applyFont="1" applyFill="1"/>
    <xf numFmtId="9" fontId="14" fillId="5" borderId="1" xfId="0" applyNumberFormat="1" applyFont="1" applyFill="1" applyBorder="1"/>
    <xf numFmtId="9" fontId="0" fillId="5" borderId="0" xfId="0" applyNumberFormat="1" applyFill="1"/>
    <xf numFmtId="10" fontId="0" fillId="5" borderId="1" xfId="0" applyNumberFormat="1" applyFill="1" applyBorder="1"/>
    <xf numFmtId="0" fontId="3" fillId="7" borderId="0" xfId="0" applyFont="1" applyFill="1"/>
    <xf numFmtId="0" fontId="18" fillId="11" borderId="0" xfId="0" applyFont="1" applyFill="1" applyAlignment="1">
      <alignment horizontal="right" vertical="center" wrapText="1"/>
    </xf>
    <xf numFmtId="0" fontId="18" fillId="10" borderId="0" xfId="0" applyFont="1" applyFill="1" applyAlignment="1">
      <alignment horizontal="right" vertical="center" wrapText="1"/>
    </xf>
    <xf numFmtId="0" fontId="19" fillId="11" borderId="7" xfId="0" applyFont="1" applyFill="1" applyBorder="1" applyAlignment="1">
      <alignment horizontal="right" vertical="center" wrapText="1"/>
    </xf>
    <xf numFmtId="0" fontId="18" fillId="11" borderId="0" xfId="0" applyFont="1" applyFill="1" applyAlignment="1">
      <alignment horizontal="left" vertical="center"/>
    </xf>
    <xf numFmtId="0" fontId="19" fillId="10" borderId="7" xfId="0" applyFont="1" applyFill="1" applyBorder="1" applyAlignment="1">
      <alignment horizontal="right" vertical="center" wrapText="1"/>
    </xf>
    <xf numFmtId="0" fontId="18" fillId="10" borderId="0" xfId="0" applyFont="1" applyFill="1" applyAlignment="1">
      <alignment horizontal="left" vertical="center"/>
    </xf>
    <xf numFmtId="0" fontId="19" fillId="10" borderId="7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9" fillId="11" borderId="7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1" borderId="0" xfId="0" applyFont="1" applyFill="1" applyAlignment="1">
      <alignment horizontal="right" vertical="center" wrapText="1"/>
    </xf>
    <xf numFmtId="0" fontId="19" fillId="10" borderId="0" xfId="0" applyFont="1" applyFill="1" applyAlignment="1">
      <alignment horizontal="left" vertical="center"/>
    </xf>
    <xf numFmtId="0" fontId="19" fillId="10" borderId="0" xfId="0" applyFont="1" applyFill="1" applyAlignment="1">
      <alignment horizontal="right" vertical="center" wrapText="1"/>
    </xf>
    <xf numFmtId="17" fontId="21" fillId="8" borderId="0" xfId="0" applyNumberFormat="1" applyFont="1" applyFill="1" applyAlignment="1">
      <alignment horizontal="left" vertical="center" wrapText="1"/>
    </xf>
    <xf numFmtId="17" fontId="21" fillId="8" borderId="0" xfId="0" applyNumberFormat="1" applyFont="1" applyFill="1" applyAlignment="1">
      <alignment horizontal="right" vertical="center" wrapText="1"/>
    </xf>
    <xf numFmtId="0" fontId="19" fillId="11" borderId="6" xfId="0" applyFont="1" applyFill="1" applyBorder="1" applyAlignment="1">
      <alignment horizontal="left" vertical="center"/>
    </xf>
    <xf numFmtId="0" fontId="19" fillId="11" borderId="6" xfId="0" applyFont="1" applyFill="1" applyBorder="1" applyAlignment="1">
      <alignment horizontal="right" vertical="center" wrapText="1"/>
    </xf>
    <xf numFmtId="0" fontId="4" fillId="8" borderId="0" xfId="0" applyFont="1" applyFill="1"/>
    <xf numFmtId="0" fontId="3" fillId="0" borderId="8" xfId="0" applyFont="1" applyBorder="1"/>
    <xf numFmtId="0" fontId="0" fillId="0" borderId="8" xfId="0" applyBorder="1"/>
    <xf numFmtId="0" fontId="3" fillId="0" borderId="9" xfId="0" applyFont="1" applyBorder="1"/>
    <xf numFmtId="0" fontId="0" fillId="0" borderId="9" xfId="0" applyBorder="1"/>
    <xf numFmtId="0" fontId="3" fillId="0" borderId="10" xfId="0" applyFont="1" applyBorder="1"/>
    <xf numFmtId="0" fontId="0" fillId="0" borderId="10" xfId="0" applyBorder="1"/>
    <xf numFmtId="17" fontId="4" fillId="8" borderId="0" xfId="0" applyNumberFormat="1" applyFont="1" applyFill="1"/>
    <xf numFmtId="17" fontId="2" fillId="8" borderId="0" xfId="0" applyNumberFormat="1" applyFont="1" applyFill="1"/>
    <xf numFmtId="0" fontId="3" fillId="0" borderId="0" xfId="0" applyFont="1" applyAlignment="1">
      <alignment horizontal="left"/>
    </xf>
    <xf numFmtId="173" fontId="0" fillId="0" borderId="0" xfId="0" applyNumberFormat="1"/>
    <xf numFmtId="173" fontId="0" fillId="0" borderId="9" xfId="0" applyNumberFormat="1" applyBorder="1"/>
    <xf numFmtId="173" fontId="0" fillId="0" borderId="10" xfId="0" applyNumberFormat="1" applyBorder="1"/>
    <xf numFmtId="2" fontId="3" fillId="0" borderId="10" xfId="0" applyNumberFormat="1" applyFont="1" applyBorder="1"/>
    <xf numFmtId="173" fontId="3" fillId="0" borderId="9" xfId="0" applyNumberFormat="1" applyFont="1" applyBorder="1"/>
    <xf numFmtId="173" fontId="3" fillId="0" borderId="10" xfId="0" applyNumberFormat="1" applyFont="1" applyBorder="1"/>
    <xf numFmtId="0" fontId="0" fillId="0" borderId="12" xfId="0" applyBorder="1"/>
    <xf numFmtId="173" fontId="0" fillId="0" borderId="12" xfId="0" applyNumberFormat="1" applyBorder="1"/>
    <xf numFmtId="0" fontId="0" fillId="0" borderId="11" xfId="0" applyBorder="1"/>
    <xf numFmtId="173" fontId="0" fillId="0" borderId="11" xfId="0" applyNumberFormat="1" applyBorder="1"/>
    <xf numFmtId="9" fontId="14" fillId="5" borderId="12" xfId="0" applyNumberFormat="1" applyFont="1" applyFill="1" applyBorder="1"/>
    <xf numFmtId="10" fontId="0" fillId="0" borderId="12" xfId="0" applyNumberFormat="1" applyBorder="1"/>
    <xf numFmtId="10" fontId="0" fillId="0" borderId="11" xfId="0" applyNumberFormat="1" applyBorder="1"/>
    <xf numFmtId="0" fontId="3" fillId="0" borderId="11" xfId="0" applyFont="1" applyBorder="1"/>
    <xf numFmtId="10" fontId="3" fillId="0" borderId="11" xfId="0" applyNumberFormat="1" applyFont="1" applyBorder="1"/>
    <xf numFmtId="0" fontId="4" fillId="5" borderId="0" xfId="0" applyFont="1" applyFill="1"/>
    <xf numFmtId="0" fontId="3" fillId="0" borderId="13" xfId="0" applyFont="1" applyBorder="1"/>
    <xf numFmtId="0" fontId="0" fillId="0" borderId="13" xfId="0" applyBorder="1"/>
    <xf numFmtId="173" fontId="0" fillId="0" borderId="13" xfId="0" applyNumberFormat="1" applyBorder="1"/>
    <xf numFmtId="173" fontId="0" fillId="0" borderId="1" xfId="0" applyNumberFormat="1" applyBorder="1"/>
    <xf numFmtId="10" fontId="3" fillId="0" borderId="1" xfId="2" applyNumberFormat="1" applyFont="1" applyBorder="1"/>
    <xf numFmtId="10" fontId="3" fillId="0" borderId="11" xfId="2" applyNumberFormat="1" applyFont="1" applyBorder="1"/>
    <xf numFmtId="0" fontId="3" fillId="7" borderId="14" xfId="0" applyFont="1" applyFill="1" applyBorder="1"/>
    <xf numFmtId="0" fontId="3" fillId="7" borderId="15" xfId="0" applyFont="1" applyFill="1" applyBorder="1"/>
    <xf numFmtId="10" fontId="3" fillId="7" borderId="16" xfId="2" applyNumberFormat="1" applyFont="1" applyFill="1" applyBorder="1"/>
    <xf numFmtId="0" fontId="3" fillId="7" borderId="17" xfId="0" applyFont="1" applyFill="1" applyBorder="1"/>
    <xf numFmtId="0" fontId="3" fillId="7" borderId="18" xfId="0" applyFont="1" applyFill="1" applyBorder="1"/>
    <xf numFmtId="10" fontId="3" fillId="7" borderId="19" xfId="0" applyNumberFormat="1" applyFont="1" applyFill="1" applyBorder="1"/>
    <xf numFmtId="10" fontId="3" fillId="7" borderId="16" xfId="0" applyNumberFormat="1" applyFont="1" applyFill="1" applyBorder="1"/>
    <xf numFmtId="175" fontId="4" fillId="8" borderId="0" xfId="0" applyNumberFormat="1" applyFont="1" applyFill="1"/>
    <xf numFmtId="176" fontId="4" fillId="8" borderId="0" xfId="0" applyNumberFormat="1" applyFont="1" applyFill="1"/>
    <xf numFmtId="0" fontId="0" fillId="12" borderId="0" xfId="0" applyFill="1"/>
    <xf numFmtId="0" fontId="3" fillId="12" borderId="10" xfId="0" applyFont="1" applyFill="1" applyBorder="1"/>
    <xf numFmtId="0" fontId="0" fillId="12" borderId="12" xfId="0" applyFill="1" applyBorder="1"/>
    <xf numFmtId="2" fontId="0" fillId="0" borderId="12" xfId="0" applyNumberFormat="1" applyBorder="1"/>
    <xf numFmtId="9" fontId="14" fillId="12" borderId="12" xfId="0" applyNumberFormat="1" applyFont="1" applyFill="1" applyBorder="1"/>
    <xf numFmtId="9" fontId="14" fillId="0" borderId="12" xfId="0" applyNumberFormat="1" applyFont="1" applyBorder="1"/>
    <xf numFmtId="2" fontId="0" fillId="12" borderId="12" xfId="0" applyNumberFormat="1" applyFill="1" applyBorder="1"/>
    <xf numFmtId="10" fontId="0" fillId="12" borderId="12" xfId="0" applyNumberFormat="1" applyFill="1" applyBorder="1"/>
    <xf numFmtId="0" fontId="14" fillId="0" borderId="12" xfId="0" applyFont="1" applyBorder="1"/>
    <xf numFmtId="174" fontId="0" fillId="0" borderId="12" xfId="0" applyNumberFormat="1" applyBorder="1"/>
    <xf numFmtId="0" fontId="3" fillId="5" borderId="0" xfId="0" applyFont="1" applyFill="1"/>
    <xf numFmtId="2" fontId="3" fillId="0" borderId="8" xfId="0" applyNumberFormat="1" applyFont="1" applyBorder="1"/>
    <xf numFmtId="2" fontId="3" fillId="0" borderId="0" xfId="0" applyNumberFormat="1" applyFont="1"/>
    <xf numFmtId="43" fontId="0" fillId="0" borderId="0" xfId="0" applyNumberFormat="1"/>
    <xf numFmtId="43" fontId="0" fillId="0" borderId="8" xfId="0" applyNumberFormat="1" applyBorder="1"/>
    <xf numFmtId="167" fontId="0" fillId="7" borderId="0" xfId="0" applyNumberFormat="1" applyFill="1"/>
    <xf numFmtId="169" fontId="3" fillId="7" borderId="20" xfId="2" applyNumberFormat="1" applyFont="1" applyFill="1" applyBorder="1"/>
    <xf numFmtId="0" fontId="3" fillId="7" borderId="21" xfId="0" applyFont="1" applyFill="1" applyBorder="1"/>
    <xf numFmtId="0" fontId="2" fillId="4" borderId="0" xfId="0" applyFont="1" applyFill="1" applyAlignment="1">
      <alignment horizontal="center" vertical="top"/>
    </xf>
    <xf numFmtId="0" fontId="2" fillId="4" borderId="0" xfId="0" applyFont="1" applyFill="1" applyAlignment="1">
      <alignment horizontal="center"/>
    </xf>
    <xf numFmtId="0" fontId="17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left"/>
    </xf>
    <xf numFmtId="43" fontId="7" fillId="0" borderId="0" xfId="4" applyNumberFormat="1" applyFont="1" applyBorder="1" applyAlignment="1" applyProtection="1">
      <alignment horizontal="center"/>
    </xf>
    <xf numFmtId="43" fontId="9" fillId="2" borderId="0" xfId="3" applyNumberFormat="1" applyFont="1" applyBorder="1" applyAlignment="1">
      <alignment horizontal="center"/>
    </xf>
    <xf numFmtId="0" fontId="2" fillId="8" borderId="0" xfId="0" applyFont="1" applyFill="1" applyAlignment="1">
      <alignment horizontal="center"/>
    </xf>
  </cellXfs>
  <cellStyles count="5">
    <cellStyle name="Accent6" xfId="3" builtinId="49"/>
    <cellStyle name="Comma" xfId="1" builtinId="3"/>
    <cellStyle name="Hyperlink" xfId="4" builtinId="8"/>
    <cellStyle name="Normal" xfId="0" builtinId="0"/>
    <cellStyle name="Percent" xfId="2" builtinId="5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Regression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Forecasting!$D$4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Forecasting!$C$5:$C$14</c:f>
              <c:numCache>
                <c:formatCode>yyyy"A"</c:formatCode>
                <c:ptCount val="10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43920</c:v>
                </c:pt>
                <c:pt idx="5">
                  <c:v>44285</c:v>
                </c:pt>
                <c:pt idx="6">
                  <c:v>44650</c:v>
                </c:pt>
                <c:pt idx="7">
                  <c:v>45015</c:v>
                </c:pt>
                <c:pt idx="8">
                  <c:v>45380</c:v>
                </c:pt>
                <c:pt idx="9">
                  <c:v>45745</c:v>
                </c:pt>
              </c:numCache>
            </c:numRef>
          </c:xVal>
          <c:yVal>
            <c:numRef>
              <c:f>Forecasting!$D$5:$D$14</c:f>
              <c:numCache>
                <c:formatCode>"₹"\ #,##0.00</c:formatCode>
                <c:ptCount val="10"/>
                <c:pt idx="0">
                  <c:v>264.26</c:v>
                </c:pt>
                <c:pt idx="1">
                  <c:v>294.35000000000002</c:v>
                </c:pt>
                <c:pt idx="2">
                  <c:v>339.08</c:v>
                </c:pt>
                <c:pt idx="3">
                  <c:v>460.62</c:v>
                </c:pt>
                <c:pt idx="4">
                  <c:v>462.15</c:v>
                </c:pt>
                <c:pt idx="5">
                  <c:v>479.53</c:v>
                </c:pt>
                <c:pt idx="6">
                  <c:v>659.35</c:v>
                </c:pt>
                <c:pt idx="7">
                  <c:v>952.13</c:v>
                </c:pt>
                <c:pt idx="8">
                  <c:v>914.08</c:v>
                </c:pt>
                <c:pt idx="9">
                  <c:v>1025.0899999999999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5F-470A-8984-5AD19872B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5795696"/>
        <c:axId val="1985797616"/>
      </c:scatterChart>
      <c:valAx>
        <c:axId val="198579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&quot;A&quot;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797616"/>
        <c:crosses val="autoZero"/>
        <c:crossBetween val="midCat"/>
      </c:valAx>
      <c:valAx>
        <c:axId val="198579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579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</xdr:colOff>
      <xdr:row>2</xdr:row>
      <xdr:rowOff>163830</xdr:rowOff>
    </xdr:from>
    <xdr:to>
      <xdr:col>17</xdr:col>
      <xdr:colOff>320040</xdr:colOff>
      <xdr:row>17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4369DE-5FC5-1B3F-2D2F-5FEC0757A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D748-2ECA-424C-8D72-B7BA4D2DA4A5}">
  <sheetPr>
    <tabColor rgb="FF002060"/>
  </sheetPr>
  <dimension ref="A1"/>
  <sheetViews>
    <sheetView workbookViewId="0">
      <selection activeCell="K27" sqref="K27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CBBB-50F5-4703-872A-34028F362C60}">
  <dimension ref="A2:Q106"/>
  <sheetViews>
    <sheetView showGridLines="0" zoomScale="98" zoomScaleNormal="98" workbookViewId="0">
      <pane ySplit="3" topLeftCell="A44" activePane="bottomLeft" state="frozen"/>
      <selection pane="bottomLeft" activeCell="Q66" sqref="Q66"/>
    </sheetView>
  </sheetViews>
  <sheetFormatPr defaultRowHeight="14.4" outlineLevelRow="1" x14ac:dyDescent="0.3"/>
  <cols>
    <col min="1" max="1" width="1.88671875" customWidth="1"/>
    <col min="2" max="2" width="31.44140625" customWidth="1"/>
    <col min="3" max="3" width="9.6640625" bestFit="1" customWidth="1"/>
    <col min="12" max="12" width="9.44140625" bestFit="1" customWidth="1"/>
    <col min="13" max="13" width="9.5546875" customWidth="1"/>
  </cols>
  <sheetData>
    <row r="2" spans="1:13" ht="16.8" customHeight="1" x14ac:dyDescent="0.3">
      <c r="B2" s="167" t="str">
        <f>"Historical Financial Statement -"&amp;DataSheet!B1</f>
        <v>Historical Financial Statement -STYLAM INDUSTRIES LTD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</row>
    <row r="3" spans="1:13" x14ac:dyDescent="0.3">
      <c r="B3" s="9" t="s">
        <v>54</v>
      </c>
      <c r="C3" s="10">
        <f>DataSheet!B16</f>
        <v>42460</v>
      </c>
      <c r="D3" s="10">
        <f>DataSheet!C16</f>
        <v>42825</v>
      </c>
      <c r="E3" s="10">
        <f>DataSheet!D16</f>
        <v>43190</v>
      </c>
      <c r="F3" s="10">
        <f>DataSheet!E16</f>
        <v>43555</v>
      </c>
      <c r="G3" s="10">
        <f>DataSheet!F16</f>
        <v>43921</v>
      </c>
      <c r="H3" s="10">
        <f>DataSheet!G16</f>
        <v>44286</v>
      </c>
      <c r="I3" s="10">
        <f>DataSheet!H16</f>
        <v>44651</v>
      </c>
      <c r="J3" s="10">
        <f>DataSheet!I16</f>
        <v>45016</v>
      </c>
      <c r="K3" s="10">
        <f>DataSheet!J16</f>
        <v>45382</v>
      </c>
      <c r="L3" s="10">
        <f>DataSheet!K16</f>
        <v>45747</v>
      </c>
      <c r="M3" s="11" t="s">
        <v>55</v>
      </c>
    </row>
    <row r="4" spans="1:13" s="17" customFormat="1" x14ac:dyDescent="0.3">
      <c r="B4" s="18"/>
      <c r="C4" s="19"/>
      <c r="D4" s="19"/>
      <c r="E4" s="19"/>
      <c r="F4" s="19"/>
      <c r="G4" s="19"/>
      <c r="H4" s="19"/>
      <c r="I4" s="19"/>
      <c r="J4" s="19"/>
      <c r="K4" s="19"/>
      <c r="L4" s="19"/>
      <c r="M4" s="20"/>
    </row>
    <row r="5" spans="1:13" x14ac:dyDescent="0.3">
      <c r="A5" t="s">
        <v>80</v>
      </c>
      <c r="B5" s="21" t="s">
        <v>81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</row>
    <row r="6" spans="1:13" outlineLevel="1" x14ac:dyDescent="0.3">
      <c r="B6" s="8" t="s">
        <v>12</v>
      </c>
      <c r="C6" s="12">
        <f>IFERROR(DataSheet!B17,0)</f>
        <v>264.26</v>
      </c>
      <c r="D6" s="12">
        <f>IFERROR(DataSheet!C17,0)</f>
        <v>294.35000000000002</v>
      </c>
      <c r="E6" s="12">
        <f>IFERROR(DataSheet!D17,0)</f>
        <v>339.08</v>
      </c>
      <c r="F6" s="12">
        <f>IFERROR(DataSheet!E17,0)</f>
        <v>460.62</v>
      </c>
      <c r="G6" s="12">
        <f>IFERROR(DataSheet!F17,0)</f>
        <v>462.15</v>
      </c>
      <c r="H6" s="12">
        <f>IFERROR(DataSheet!G17,0)</f>
        <v>479.53</v>
      </c>
      <c r="I6" s="12">
        <f>IFERROR(DataSheet!H17,0)</f>
        <v>659.35</v>
      </c>
      <c r="J6" s="12">
        <f>IFERROR(DataSheet!I17,0)</f>
        <v>952.13</v>
      </c>
      <c r="K6" s="12">
        <f>IFERROR(DataSheet!J17,0)</f>
        <v>914.08</v>
      </c>
      <c r="L6" s="12">
        <f>IFERROR(DataSheet!K17,0)</f>
        <v>1025.0899999999999</v>
      </c>
      <c r="M6" s="12">
        <f>SUM(DataSheet!H42:K42)</f>
        <v>1095.1799999999998</v>
      </c>
    </row>
    <row r="7" spans="1:13" outlineLevel="1" x14ac:dyDescent="0.3">
      <c r="B7" s="15" t="s">
        <v>56</v>
      </c>
      <c r="C7" s="16"/>
      <c r="D7" s="16">
        <f>D6/C6-1</f>
        <v>0.11386513282373434</v>
      </c>
      <c r="E7" s="16">
        <f t="shared" ref="E7:M7" si="0">E6/D6-1</f>
        <v>0.1519619500594529</v>
      </c>
      <c r="F7" s="16">
        <f t="shared" si="0"/>
        <v>0.35844048602099798</v>
      </c>
      <c r="G7" s="16">
        <f t="shared" si="0"/>
        <v>3.3216100039077379E-3</v>
      </c>
      <c r="H7" s="16">
        <f t="shared" si="0"/>
        <v>3.7606837606837695E-2</v>
      </c>
      <c r="I7" s="16">
        <f t="shared" si="0"/>
        <v>0.3749921798427629</v>
      </c>
      <c r="J7" s="16">
        <f t="shared" si="0"/>
        <v>0.44404337605217248</v>
      </c>
      <c r="K7" s="16">
        <f t="shared" si="0"/>
        <v>-3.9963030258473031E-2</v>
      </c>
      <c r="L7" s="16">
        <f t="shared" si="0"/>
        <v>0.12144451251531585</v>
      </c>
      <c r="M7" s="16">
        <f t="shared" si="0"/>
        <v>6.8374484191631835E-2</v>
      </c>
    </row>
    <row r="8" spans="1:13" outlineLevel="1" x14ac:dyDescent="0.3"/>
    <row r="9" spans="1:13" outlineLevel="1" x14ac:dyDescent="0.3">
      <c r="B9" s="8" t="s">
        <v>57</v>
      </c>
      <c r="C9" s="12">
        <f>IFERROR(SUM(DataSheet!B18,DataSheet!B20,DataSheet!B21,DataSheet!B22)-1*(DataSheet!B19),0)</f>
        <v>192.19</v>
      </c>
      <c r="D9" s="12">
        <f>IFERROR(SUM(DataSheet!C18,DataSheet!C20,DataSheet!C21,DataSheet!C22)-1*(DataSheet!C19),0)</f>
        <v>208.96</v>
      </c>
      <c r="E9" s="12">
        <f>IFERROR(SUM(DataSheet!D18,DataSheet!D20,DataSheet!D21,DataSheet!D22)-1*(DataSheet!D19),0)</f>
        <v>255.94</v>
      </c>
      <c r="F9" s="12">
        <f>IFERROR(SUM(DataSheet!E18,DataSheet!E20,DataSheet!E21,DataSheet!E22)-1*(DataSheet!E19),0)</f>
        <v>342.63000000000005</v>
      </c>
      <c r="G9" s="12">
        <f>IFERROR(SUM(DataSheet!F18,DataSheet!F20,DataSheet!F21,DataSheet!F22)-1*(DataSheet!F19),0)</f>
        <v>343.71</v>
      </c>
      <c r="H9" s="12">
        <f>IFERROR(SUM(DataSheet!G18,DataSheet!G20,DataSheet!G21,DataSheet!G22)-1*(DataSheet!G19),0)</f>
        <v>336.59000000000003</v>
      </c>
      <c r="I9" s="12">
        <f>IFERROR(SUM(DataSheet!H18,DataSheet!H20,DataSheet!H21,DataSheet!H22)-1*(DataSheet!H19),0)</f>
        <v>494.65000000000003</v>
      </c>
      <c r="J9" s="12">
        <f>IFERROR(SUM(DataSheet!I18,DataSheet!I20,DataSheet!I21,DataSheet!I22)-1*(DataSheet!I19),0)</f>
        <v>691.41</v>
      </c>
      <c r="K9" s="12">
        <f>IFERROR(SUM(DataSheet!J18,DataSheet!J20,DataSheet!J21,DataSheet!J22)-1*(DataSheet!J19),0)</f>
        <v>637.01999999999987</v>
      </c>
      <c r="L9" s="12">
        <f>IFERROR(SUM(DataSheet!K18,DataSheet!K20,DataSheet!K21,DataSheet!K22)-1*(DataSheet!K19),0)</f>
        <v>735.35</v>
      </c>
      <c r="M9" s="12">
        <f>IFERROR(SUM(DataSheet!H43:K43),0)</f>
        <v>896.73</v>
      </c>
    </row>
    <row r="10" spans="1:13" outlineLevel="1" x14ac:dyDescent="0.3">
      <c r="B10" s="15" t="s">
        <v>58</v>
      </c>
      <c r="C10" s="16">
        <f>C9/C6</f>
        <v>0.72727616741088319</v>
      </c>
      <c r="D10" s="16">
        <f t="shared" ref="D10:M10" si="1">D9/D6</f>
        <v>0.70990317649057244</v>
      </c>
      <c r="E10" s="16">
        <f t="shared" si="1"/>
        <v>0.75480712516220361</v>
      </c>
      <c r="F10" s="16">
        <f t="shared" si="1"/>
        <v>0.74384525205158281</v>
      </c>
      <c r="G10" s="16">
        <f t="shared" si="1"/>
        <v>0.74371957156767288</v>
      </c>
      <c r="H10" s="16">
        <f t="shared" si="1"/>
        <v>0.70191645986695317</v>
      </c>
      <c r="I10" s="16">
        <f t="shared" si="1"/>
        <v>0.75020853871236826</v>
      </c>
      <c r="J10" s="16">
        <f t="shared" si="1"/>
        <v>0.72617184628149511</v>
      </c>
      <c r="K10" s="16">
        <f t="shared" si="1"/>
        <v>0.69689742692105705</v>
      </c>
      <c r="L10" s="16">
        <f t="shared" si="1"/>
        <v>0.71735164717244349</v>
      </c>
      <c r="M10" s="16">
        <f t="shared" si="1"/>
        <v>0.81879691009697053</v>
      </c>
    </row>
    <row r="11" spans="1:13" outlineLevel="1" x14ac:dyDescent="0.3"/>
    <row r="12" spans="1:13" outlineLevel="1" x14ac:dyDescent="0.3">
      <c r="B12" s="8" t="s">
        <v>59</v>
      </c>
      <c r="C12" s="12">
        <f>C6-C9</f>
        <v>72.069999999999993</v>
      </c>
      <c r="D12" s="12">
        <f t="shared" ref="D12:M12" si="2">D6-D9</f>
        <v>85.390000000000015</v>
      </c>
      <c r="E12" s="12">
        <f t="shared" si="2"/>
        <v>83.139999999999986</v>
      </c>
      <c r="F12" s="12">
        <f t="shared" si="2"/>
        <v>117.98999999999995</v>
      </c>
      <c r="G12" s="12">
        <f t="shared" si="2"/>
        <v>118.44</v>
      </c>
      <c r="H12" s="12">
        <f t="shared" si="2"/>
        <v>142.93999999999994</v>
      </c>
      <c r="I12" s="12">
        <f t="shared" si="2"/>
        <v>164.7</v>
      </c>
      <c r="J12" s="12">
        <f t="shared" si="2"/>
        <v>260.72000000000003</v>
      </c>
      <c r="K12" s="12">
        <f t="shared" si="2"/>
        <v>277.06000000000017</v>
      </c>
      <c r="L12" s="12">
        <f t="shared" si="2"/>
        <v>289.7399999999999</v>
      </c>
      <c r="M12" s="12">
        <f t="shared" si="2"/>
        <v>198.44999999999982</v>
      </c>
    </row>
    <row r="13" spans="1:13" outlineLevel="1" x14ac:dyDescent="0.3">
      <c r="B13" s="16" t="s">
        <v>60</v>
      </c>
      <c r="C13" s="16">
        <f>C12/C6</f>
        <v>0.27272383258911675</v>
      </c>
      <c r="D13" s="16">
        <f t="shared" ref="D13:M13" si="3">D12/D6</f>
        <v>0.29009682350942756</v>
      </c>
      <c r="E13" s="16">
        <f t="shared" si="3"/>
        <v>0.24519287483779637</v>
      </c>
      <c r="F13" s="16">
        <f t="shared" si="3"/>
        <v>0.25615474794841725</v>
      </c>
      <c r="G13" s="16">
        <f t="shared" si="3"/>
        <v>0.25628042843232718</v>
      </c>
      <c r="H13" s="16">
        <f t="shared" si="3"/>
        <v>0.29808354013304683</v>
      </c>
      <c r="I13" s="16">
        <f t="shared" si="3"/>
        <v>0.24979146128763174</v>
      </c>
      <c r="J13" s="16">
        <f t="shared" si="3"/>
        <v>0.27382815371850483</v>
      </c>
      <c r="K13" s="16">
        <f t="shared" si="3"/>
        <v>0.30310257307894295</v>
      </c>
      <c r="L13" s="16">
        <f t="shared" si="3"/>
        <v>0.28264835282755651</v>
      </c>
      <c r="M13" s="16">
        <f t="shared" si="3"/>
        <v>0.1812030899030295</v>
      </c>
    </row>
    <row r="14" spans="1:13" outlineLevel="1" x14ac:dyDescent="0.3"/>
    <row r="15" spans="1:13" outlineLevel="1" x14ac:dyDescent="0.3">
      <c r="B15" s="8" t="s">
        <v>61</v>
      </c>
      <c r="C15" s="12">
        <f>IFERROR(DataSheet!B23+DataSheet!B24,0)</f>
        <v>41.879999999999995</v>
      </c>
      <c r="D15" s="12">
        <f>IFERROR(DataSheet!C23+DataSheet!C24,0)</f>
        <v>39.56</v>
      </c>
      <c r="E15" s="12">
        <f>IFERROR(DataSheet!D23+DataSheet!D24,0)</f>
        <v>33.61</v>
      </c>
      <c r="F15" s="12">
        <f>IFERROR(DataSheet!E23+DataSheet!E24,0)</f>
        <v>37.82</v>
      </c>
      <c r="G15" s="12">
        <f>IFERROR(DataSheet!F23+DataSheet!F24,0)</f>
        <v>38.72</v>
      </c>
      <c r="H15" s="12">
        <f>IFERROR(DataSheet!G23+DataSheet!G24,0)</f>
        <v>43.83</v>
      </c>
      <c r="I15" s="12">
        <f>IFERROR(DataSheet!H23+DataSheet!H24,0)</f>
        <v>61.06</v>
      </c>
      <c r="J15" s="12">
        <f>IFERROR(DataSheet!I23+DataSheet!I24,0)</f>
        <v>105.91</v>
      </c>
      <c r="K15" s="12">
        <f>IFERROR(DataSheet!J23+DataSheet!J24,0)</f>
        <v>92.89</v>
      </c>
      <c r="L15" s="12">
        <f>IFERROR(DataSheet!K23+DataSheet!K24,0)</f>
        <v>104.28999999999999</v>
      </c>
    </row>
    <row r="16" spans="1:13" outlineLevel="1" x14ac:dyDescent="0.3">
      <c r="B16" s="16" t="s">
        <v>62</v>
      </c>
      <c r="C16" s="16">
        <f>C15/C6</f>
        <v>0.15848028456822824</v>
      </c>
      <c r="D16" s="16">
        <f t="shared" ref="D16:L16" si="4">D15/D6</f>
        <v>0.13439782571768302</v>
      </c>
      <c r="E16" s="16">
        <f t="shared" si="4"/>
        <v>9.9121151350713699E-2</v>
      </c>
      <c r="F16" s="16">
        <f t="shared" si="4"/>
        <v>8.2106725717511181E-2</v>
      </c>
      <c r="G16" s="16">
        <f t="shared" si="4"/>
        <v>8.3782321757005299E-2</v>
      </c>
      <c r="H16" s="16">
        <f t="shared" si="4"/>
        <v>9.1401997789502226E-2</v>
      </c>
      <c r="I16" s="16">
        <f t="shared" si="4"/>
        <v>9.2606354743307806E-2</v>
      </c>
      <c r="J16" s="16">
        <f t="shared" si="4"/>
        <v>0.11123481037253316</v>
      </c>
      <c r="K16" s="16">
        <f t="shared" si="4"/>
        <v>0.10162130229301593</v>
      </c>
      <c r="L16" s="16">
        <f t="shared" si="4"/>
        <v>0.10173740842267508</v>
      </c>
    </row>
    <row r="17" spans="2:13" outlineLevel="1" x14ac:dyDescent="0.3"/>
    <row r="18" spans="2:13" outlineLevel="1" x14ac:dyDescent="0.3">
      <c r="B18" s="8" t="s">
        <v>63</v>
      </c>
      <c r="C18" s="12">
        <f>C12-C15</f>
        <v>30.189999999999998</v>
      </c>
      <c r="D18" s="12">
        <f t="shared" ref="D18:L18" si="5">D12-D15</f>
        <v>45.830000000000013</v>
      </c>
      <c r="E18" s="12">
        <f t="shared" si="5"/>
        <v>49.529999999999987</v>
      </c>
      <c r="F18" s="12">
        <f t="shared" si="5"/>
        <v>80.169999999999959</v>
      </c>
      <c r="G18" s="12">
        <f t="shared" si="5"/>
        <v>79.72</v>
      </c>
      <c r="H18" s="12">
        <f t="shared" si="5"/>
        <v>99.109999999999943</v>
      </c>
      <c r="I18" s="12">
        <f t="shared" si="5"/>
        <v>103.63999999999999</v>
      </c>
      <c r="J18" s="12">
        <f t="shared" si="5"/>
        <v>154.81000000000003</v>
      </c>
      <c r="K18" s="12">
        <f t="shared" si="5"/>
        <v>184.17000000000019</v>
      </c>
      <c r="L18" s="12">
        <f t="shared" si="5"/>
        <v>185.4499999999999</v>
      </c>
      <c r="M18" s="12">
        <f>IFERROR(SUM(DataSheet!H50:K50),0)</f>
        <v>198.45000000000002</v>
      </c>
    </row>
    <row r="19" spans="2:13" outlineLevel="1" x14ac:dyDescent="0.3">
      <c r="B19" s="16" t="s">
        <v>64</v>
      </c>
      <c r="C19" s="16">
        <f>C18/C6</f>
        <v>0.11424354802088851</v>
      </c>
      <c r="D19" s="16">
        <f t="shared" ref="D19:L19" si="6">D18/D6</f>
        <v>0.15569899779174456</v>
      </c>
      <c r="E19" s="16">
        <f t="shared" si="6"/>
        <v>0.14607172348708267</v>
      </c>
      <c r="F19" s="16">
        <f t="shared" si="6"/>
        <v>0.17404802223090607</v>
      </c>
      <c r="G19" s="16">
        <f t="shared" si="6"/>
        <v>0.17249810667532187</v>
      </c>
      <c r="H19" s="16">
        <f t="shared" si="6"/>
        <v>0.20668154234354461</v>
      </c>
      <c r="I19" s="16">
        <f t="shared" si="6"/>
        <v>0.15718510654432394</v>
      </c>
      <c r="J19" s="16">
        <f t="shared" si="6"/>
        <v>0.1625933433459717</v>
      </c>
      <c r="K19" s="16">
        <f t="shared" si="6"/>
        <v>0.20148127078592704</v>
      </c>
      <c r="L19" s="16">
        <f t="shared" si="6"/>
        <v>0.18091094440488145</v>
      </c>
      <c r="M19" s="16">
        <f>M18/M6</f>
        <v>0.18120308990302969</v>
      </c>
    </row>
    <row r="20" spans="2:13" outlineLevel="1" x14ac:dyDescent="0.3"/>
    <row r="21" spans="2:13" outlineLevel="1" x14ac:dyDescent="0.3">
      <c r="B21" s="8" t="s">
        <v>21</v>
      </c>
      <c r="C21" s="12">
        <f>IFERROR(DataSheet!B26,0)</f>
        <v>4.6500000000000004</v>
      </c>
      <c r="D21" s="12">
        <f>IFERROR(DataSheet!C26,0)</f>
        <v>5.7</v>
      </c>
      <c r="E21" s="12">
        <f>IFERROR(DataSheet!D26,0)</f>
        <v>10.83</v>
      </c>
      <c r="F21" s="12">
        <f>IFERROR(DataSheet!E26,0)</f>
        <v>18.21</v>
      </c>
      <c r="G21" s="12">
        <f>IFERROR(DataSheet!F26,0)</f>
        <v>20.98</v>
      </c>
      <c r="H21" s="12">
        <f>IFERROR(DataSheet!G26,0)</f>
        <v>23.15</v>
      </c>
      <c r="I21" s="12">
        <f>IFERROR(DataSheet!H26,0)</f>
        <v>23.26</v>
      </c>
      <c r="J21" s="12">
        <f>IFERROR(DataSheet!I26,0)</f>
        <v>19.989999999999998</v>
      </c>
      <c r="K21" s="12">
        <f>IFERROR(DataSheet!J26,0)</f>
        <v>22.26</v>
      </c>
      <c r="L21" s="12">
        <f>IFERROR(DataSheet!K26,0)</f>
        <v>23.87</v>
      </c>
      <c r="M21" s="12">
        <f>IFERROR(SUM(DataSheet!H45:K45),0)</f>
        <v>22.09</v>
      </c>
    </row>
    <row r="22" spans="2:13" outlineLevel="1" x14ac:dyDescent="0.3">
      <c r="B22" s="16" t="s">
        <v>65</v>
      </c>
      <c r="C22" s="16">
        <f>C21/C6</f>
        <v>1.7596306667675775E-2</v>
      </c>
      <c r="D22" s="16">
        <f t="shared" ref="D22:M22" si="7">D21/D6</f>
        <v>1.9364701885510444E-2</v>
      </c>
      <c r="E22" s="16">
        <f t="shared" si="7"/>
        <v>3.193936534151233E-2</v>
      </c>
      <c r="F22" s="16">
        <f t="shared" si="7"/>
        <v>3.9533672007294518E-2</v>
      </c>
      <c r="G22" s="16">
        <f t="shared" si="7"/>
        <v>4.5396516282592232E-2</v>
      </c>
      <c r="H22" s="16">
        <f t="shared" si="7"/>
        <v>4.8276437344900218E-2</v>
      </c>
      <c r="I22" s="16">
        <f t="shared" si="7"/>
        <v>3.5277166906802153E-2</v>
      </c>
      <c r="J22" s="16">
        <f t="shared" si="7"/>
        <v>2.0995032190982324E-2</v>
      </c>
      <c r="K22" s="16">
        <f t="shared" si="7"/>
        <v>2.4352354279712937E-2</v>
      </c>
      <c r="L22" s="16">
        <f t="shared" si="7"/>
        <v>2.3285760274707589E-2</v>
      </c>
      <c r="M22" s="16">
        <f t="shared" si="7"/>
        <v>2.0170200332365457E-2</v>
      </c>
    </row>
    <row r="23" spans="2:13" outlineLevel="1" x14ac:dyDescent="0.3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spans="2:13" outlineLevel="1" x14ac:dyDescent="0.3">
      <c r="B24" s="8" t="s">
        <v>135</v>
      </c>
      <c r="C24" s="12">
        <f>C18-C21</f>
        <v>25.54</v>
      </c>
      <c r="D24" s="12">
        <f t="shared" ref="D24:M24" si="8">D18-D21</f>
        <v>40.13000000000001</v>
      </c>
      <c r="E24" s="12">
        <f t="shared" si="8"/>
        <v>38.699999999999989</v>
      </c>
      <c r="F24" s="12">
        <f t="shared" si="8"/>
        <v>61.959999999999958</v>
      </c>
      <c r="G24" s="12">
        <f t="shared" si="8"/>
        <v>58.739999999999995</v>
      </c>
      <c r="H24" s="12">
        <f t="shared" si="8"/>
        <v>75.959999999999951</v>
      </c>
      <c r="I24" s="12">
        <f t="shared" si="8"/>
        <v>80.379999999999981</v>
      </c>
      <c r="J24" s="12">
        <f t="shared" si="8"/>
        <v>134.82000000000002</v>
      </c>
      <c r="K24" s="12">
        <f t="shared" si="8"/>
        <v>161.9100000000002</v>
      </c>
      <c r="L24" s="12">
        <f t="shared" si="8"/>
        <v>161.5799999999999</v>
      </c>
      <c r="M24" s="12">
        <f t="shared" si="8"/>
        <v>176.36</v>
      </c>
    </row>
    <row r="25" spans="2:13" outlineLevel="1" x14ac:dyDescent="0.3">
      <c r="B25" s="16" t="s">
        <v>136</v>
      </c>
      <c r="C25" s="16">
        <f>C24/C6</f>
        <v>9.6647241353212746E-2</v>
      </c>
      <c r="D25" s="16">
        <f t="shared" ref="D25:M25" si="9">D24/D6</f>
        <v>0.13633429590623411</v>
      </c>
      <c r="E25" s="16">
        <f t="shared" si="9"/>
        <v>0.11413235814557034</v>
      </c>
      <c r="F25" s="16">
        <f t="shared" si="9"/>
        <v>0.13451435022361155</v>
      </c>
      <c r="G25" s="16">
        <f t="shared" si="9"/>
        <v>0.12710159039272964</v>
      </c>
      <c r="H25" s="16">
        <f t="shared" si="9"/>
        <v>0.15840510499864441</v>
      </c>
      <c r="I25" s="16">
        <f t="shared" si="9"/>
        <v>0.12190793963752176</v>
      </c>
      <c r="J25" s="16">
        <f t="shared" si="9"/>
        <v>0.14159831115498936</v>
      </c>
      <c r="K25" s="16">
        <f t="shared" si="9"/>
        <v>0.1771289165062141</v>
      </c>
      <c r="L25" s="16">
        <f t="shared" si="9"/>
        <v>0.15762518413017385</v>
      </c>
      <c r="M25" s="16">
        <f t="shared" si="9"/>
        <v>0.16103288957066422</v>
      </c>
    </row>
    <row r="26" spans="2:13" outlineLevel="1" x14ac:dyDescent="0.3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spans="2:13" outlineLevel="1" x14ac:dyDescent="0.3">
      <c r="B27" s="8" t="s">
        <v>22</v>
      </c>
      <c r="C27" s="12">
        <f>IFERROR(DataSheet!B27,0)</f>
        <v>6.46</v>
      </c>
      <c r="D27" s="12">
        <f>IFERROR(DataSheet!C27,0)</f>
        <v>10.02</v>
      </c>
      <c r="E27" s="12">
        <f>IFERROR(DataSheet!D27,0)</f>
        <v>7.7</v>
      </c>
      <c r="F27" s="12">
        <f>IFERROR(DataSheet!E27,0)</f>
        <v>11.41</v>
      </c>
      <c r="G27" s="12">
        <f>IFERROR(DataSheet!F27,0)</f>
        <v>10.9</v>
      </c>
      <c r="H27" s="12">
        <f>IFERROR(DataSheet!G27,0)</f>
        <v>6.02</v>
      </c>
      <c r="I27" s="12">
        <f>IFERROR(DataSheet!H27,0)</f>
        <v>7.83</v>
      </c>
      <c r="J27" s="12">
        <f>IFERROR(DataSheet!I27,0)</f>
        <v>8.19</v>
      </c>
      <c r="K27" s="12">
        <f>IFERROR(DataSheet!J27,0)</f>
        <v>3.19</v>
      </c>
      <c r="L27" s="12">
        <f>IFERROR(DataSheet!K27,0)</f>
        <v>4.18</v>
      </c>
      <c r="M27" s="12">
        <f>IFERROR(SUM(DataSheet!H46:K46),0)</f>
        <v>8.73</v>
      </c>
    </row>
    <row r="28" spans="2:13" outlineLevel="1" x14ac:dyDescent="0.3">
      <c r="B28" s="16" t="s">
        <v>66</v>
      </c>
      <c r="C28" s="16">
        <f>C27/C6</f>
        <v>2.4445621736168925E-2</v>
      </c>
      <c r="D28" s="16">
        <f t="shared" ref="D28:M28" si="10">D27/D6</f>
        <v>3.4041107525055202E-2</v>
      </c>
      <c r="E28" s="16">
        <f t="shared" si="10"/>
        <v>2.2708505367464906E-2</v>
      </c>
      <c r="F28" s="16">
        <f t="shared" si="10"/>
        <v>2.4770960878815508E-2</v>
      </c>
      <c r="G28" s="16">
        <f t="shared" si="10"/>
        <v>2.3585415990479284E-2</v>
      </c>
      <c r="H28" s="16">
        <f t="shared" si="10"/>
        <v>1.2553959084937335E-2</v>
      </c>
      <c r="I28" s="16">
        <f t="shared" si="10"/>
        <v>1.1875331766133312E-2</v>
      </c>
      <c r="J28" s="16">
        <f t="shared" si="10"/>
        <v>8.6017665654900058E-3</v>
      </c>
      <c r="K28" s="16">
        <f t="shared" si="10"/>
        <v>3.4898477157360402E-3</v>
      </c>
      <c r="L28" s="16">
        <f t="shared" si="10"/>
        <v>4.0776907393497153E-3</v>
      </c>
      <c r="M28" s="16">
        <f t="shared" si="10"/>
        <v>7.9712923902920084E-3</v>
      </c>
    </row>
    <row r="29" spans="2:13" outlineLevel="1" x14ac:dyDescent="0.3"/>
    <row r="30" spans="2:13" outlineLevel="1" x14ac:dyDescent="0.3">
      <c r="B30" s="8" t="s">
        <v>67</v>
      </c>
      <c r="C30" s="26">
        <f>IFERROR(DataSheet!B25,0)</f>
        <v>0.6</v>
      </c>
      <c r="D30" s="26">
        <f>IFERROR(DataSheet!C25,0)</f>
        <v>1.06</v>
      </c>
      <c r="E30" s="26">
        <f>IFERROR(DataSheet!D25,0)</f>
        <v>2.06</v>
      </c>
      <c r="F30" s="26">
        <f>IFERROR(DataSheet!E25,0)</f>
        <v>1.34</v>
      </c>
      <c r="G30" s="26">
        <f>IFERROR(DataSheet!F25,0)</f>
        <v>-14.33</v>
      </c>
      <c r="H30" s="26">
        <f>IFERROR(DataSheet!G25,0)</f>
        <v>1.03</v>
      </c>
      <c r="I30" s="26">
        <f>IFERROR(DataSheet!H25,0)</f>
        <v>7.92</v>
      </c>
      <c r="J30" s="26">
        <f>IFERROR(DataSheet!I25,0)</f>
        <v>1.4</v>
      </c>
      <c r="K30" s="26">
        <f>IFERROR(DataSheet!J25,0)</f>
        <v>5.55</v>
      </c>
      <c r="L30" s="26">
        <f>IFERROR(DataSheet!K25,0)</f>
        <v>7.44</v>
      </c>
      <c r="M30" s="26">
        <f>IFERROR(SUM(DataSheet!H44:K44),0)</f>
        <v>4.5999999999999996</v>
      </c>
    </row>
    <row r="31" spans="2:13" outlineLevel="1" x14ac:dyDescent="0.3">
      <c r="B31" s="16" t="s">
        <v>68</v>
      </c>
      <c r="C31" s="16">
        <f>C30/C6</f>
        <v>2.2704911829259061E-3</v>
      </c>
      <c r="D31" s="16">
        <f t="shared" ref="D31:M31" si="11">D30/D6</f>
        <v>3.6011550874808901E-3</v>
      </c>
      <c r="E31" s="16">
        <f t="shared" si="11"/>
        <v>6.0752624749321697E-3</v>
      </c>
      <c r="F31" s="16">
        <f t="shared" si="11"/>
        <v>2.9091224870826278E-3</v>
      </c>
      <c r="G31" s="16">
        <f t="shared" si="11"/>
        <v>-3.1007248728767717E-2</v>
      </c>
      <c r="H31" s="16">
        <f t="shared" si="11"/>
        <v>2.1479365211769861E-3</v>
      </c>
      <c r="I31" s="16">
        <f t="shared" si="11"/>
        <v>1.2011829832410706E-2</v>
      </c>
      <c r="J31" s="16">
        <f t="shared" si="11"/>
        <v>1.4703874470923088E-3</v>
      </c>
      <c r="K31" s="16">
        <f t="shared" si="11"/>
        <v>6.0716786276912302E-3</v>
      </c>
      <c r="L31" s="16">
        <f t="shared" si="11"/>
        <v>7.2578993064023652E-3</v>
      </c>
      <c r="M31" s="16">
        <f t="shared" si="11"/>
        <v>4.2002227944264873E-3</v>
      </c>
    </row>
    <row r="32" spans="2:13" outlineLevel="1" x14ac:dyDescent="0.3"/>
    <row r="33" spans="2:13" outlineLevel="1" x14ac:dyDescent="0.3">
      <c r="B33" s="8" t="s">
        <v>69</v>
      </c>
      <c r="C33" s="12">
        <f>C18+C30-(C21+C27)</f>
        <v>19.68</v>
      </c>
      <c r="D33" s="12">
        <f t="shared" ref="D33:M33" si="12">D18+D30-(D21+D27)</f>
        <v>31.170000000000016</v>
      </c>
      <c r="E33" s="12">
        <f t="shared" si="12"/>
        <v>33.059999999999988</v>
      </c>
      <c r="F33" s="12">
        <f t="shared" si="12"/>
        <v>51.889999999999958</v>
      </c>
      <c r="G33" s="12">
        <f t="shared" si="12"/>
        <v>33.51</v>
      </c>
      <c r="H33" s="12">
        <f t="shared" si="12"/>
        <v>70.969999999999942</v>
      </c>
      <c r="I33" s="12">
        <f t="shared" si="12"/>
        <v>80.469999999999985</v>
      </c>
      <c r="J33" s="12">
        <f t="shared" si="12"/>
        <v>128.03000000000003</v>
      </c>
      <c r="K33" s="12">
        <f t="shared" si="12"/>
        <v>164.27000000000021</v>
      </c>
      <c r="L33" s="12">
        <f t="shared" si="12"/>
        <v>164.83999999999989</v>
      </c>
      <c r="M33" s="12">
        <f t="shared" si="12"/>
        <v>172.23000000000002</v>
      </c>
    </row>
    <row r="34" spans="2:13" outlineLevel="1" x14ac:dyDescent="0.3">
      <c r="B34" s="16" t="s">
        <v>70</v>
      </c>
      <c r="C34" s="16">
        <f>C33/C6</f>
        <v>7.4472110799969723E-2</v>
      </c>
      <c r="D34" s="16">
        <f t="shared" ref="D34:L34" si="13">D33/D6</f>
        <v>0.10589434346865981</v>
      </c>
      <c r="E34" s="16">
        <f t="shared" si="13"/>
        <v>9.7499115253037602E-2</v>
      </c>
      <c r="F34" s="16">
        <f t="shared" si="13"/>
        <v>0.11265251183187867</v>
      </c>
      <c r="G34" s="16">
        <f t="shared" si="13"/>
        <v>7.2508925673482633E-2</v>
      </c>
      <c r="H34" s="16">
        <f t="shared" si="13"/>
        <v>0.14799908243488405</v>
      </c>
      <c r="I34" s="16">
        <f t="shared" si="13"/>
        <v>0.12204443770379916</v>
      </c>
      <c r="J34" s="16">
        <f t="shared" si="13"/>
        <v>0.13446693203659169</v>
      </c>
      <c r="K34" s="16">
        <f t="shared" si="13"/>
        <v>0.17971074741816931</v>
      </c>
      <c r="L34" s="16">
        <f t="shared" si="13"/>
        <v>0.16080539269722649</v>
      </c>
      <c r="M34" s="16">
        <f>M33/M6</f>
        <v>0.15726181997479871</v>
      </c>
    </row>
    <row r="35" spans="2:13" outlineLevel="1" x14ac:dyDescent="0.3"/>
    <row r="36" spans="2:13" outlineLevel="1" x14ac:dyDescent="0.3">
      <c r="B36" s="8" t="s">
        <v>24</v>
      </c>
      <c r="C36" s="12">
        <f>IFERROR(DataSheet!B29,0)</f>
        <v>7.53</v>
      </c>
      <c r="D36" s="12">
        <f>IFERROR(DataSheet!C29,0)</f>
        <v>11.53</v>
      </c>
      <c r="E36" s="12">
        <f>IFERROR(DataSheet!D29,0)</f>
        <v>13.01</v>
      </c>
      <c r="F36" s="12">
        <f>IFERROR(DataSheet!E29,0)</f>
        <v>13.07</v>
      </c>
      <c r="G36" s="12">
        <f>IFERROR(DataSheet!F29,0)</f>
        <v>14.6</v>
      </c>
      <c r="H36" s="12">
        <f>IFERROR(DataSheet!G29,0)</f>
        <v>15.67</v>
      </c>
      <c r="I36" s="12">
        <f>IFERROR(DataSheet!H29,0)</f>
        <v>19.46</v>
      </c>
      <c r="J36" s="12">
        <f>IFERROR(DataSheet!I29,0)</f>
        <v>32.08</v>
      </c>
      <c r="K36" s="12">
        <f>IFERROR(DataSheet!J29,0)</f>
        <v>35.869999999999997</v>
      </c>
      <c r="L36" s="12">
        <f>IFERROR(DataSheet!K29,0)</f>
        <v>43.01</v>
      </c>
      <c r="M36" s="12">
        <f>IFERROR(SUM(DataSheet!H48:K48),0)</f>
        <v>47.25</v>
      </c>
    </row>
    <row r="37" spans="2:13" outlineLevel="1" x14ac:dyDescent="0.3">
      <c r="B37" s="16" t="s">
        <v>71</v>
      </c>
      <c r="C37" s="16">
        <f>C36/C33</f>
        <v>0.3826219512195122</v>
      </c>
      <c r="D37" s="16">
        <f t="shared" ref="D37:M37" si="14">D36/D33</f>
        <v>0.36990696182226479</v>
      </c>
      <c r="E37" s="16">
        <f t="shared" si="14"/>
        <v>0.39352692075015139</v>
      </c>
      <c r="F37" s="16">
        <f t="shared" si="14"/>
        <v>0.25187897475428811</v>
      </c>
      <c r="G37" s="16">
        <f t="shared" si="14"/>
        <v>0.43569083855565505</v>
      </c>
      <c r="H37" s="16">
        <f t="shared" si="14"/>
        <v>0.22079752007890677</v>
      </c>
      <c r="I37" s="16">
        <f t="shared" si="14"/>
        <v>0.24182925313781539</v>
      </c>
      <c r="J37" s="16">
        <f t="shared" si="14"/>
        <v>0.25056627352964139</v>
      </c>
      <c r="K37" s="16">
        <f t="shared" si="14"/>
        <v>0.21836001704510838</v>
      </c>
      <c r="L37" s="16">
        <f t="shared" si="14"/>
        <v>0.26091967968939594</v>
      </c>
      <c r="M37" s="16">
        <f t="shared" si="14"/>
        <v>0.274342449050688</v>
      </c>
    </row>
    <row r="38" spans="2:13" outlineLevel="1" x14ac:dyDescent="0.3"/>
    <row r="39" spans="2:13" outlineLevel="1" x14ac:dyDescent="0.3">
      <c r="B39" s="8" t="s">
        <v>72</v>
      </c>
      <c r="C39" s="12">
        <f>C33-C36</f>
        <v>12.149999999999999</v>
      </c>
      <c r="D39" s="12">
        <f t="shared" ref="D39:M39" si="15">D33-D36</f>
        <v>19.640000000000015</v>
      </c>
      <c r="E39" s="12">
        <f t="shared" si="15"/>
        <v>20.04999999999999</v>
      </c>
      <c r="F39" s="12">
        <f t="shared" si="15"/>
        <v>38.819999999999958</v>
      </c>
      <c r="G39" s="12">
        <f t="shared" si="15"/>
        <v>18.909999999999997</v>
      </c>
      <c r="H39" s="12">
        <f t="shared" si="15"/>
        <v>55.29999999999994</v>
      </c>
      <c r="I39" s="12">
        <f t="shared" si="15"/>
        <v>61.009999999999984</v>
      </c>
      <c r="J39" s="12">
        <f t="shared" si="15"/>
        <v>95.950000000000031</v>
      </c>
      <c r="K39" s="12">
        <f t="shared" si="15"/>
        <v>128.4000000000002</v>
      </c>
      <c r="L39" s="12">
        <f t="shared" si="15"/>
        <v>121.8299999999999</v>
      </c>
      <c r="M39" s="12">
        <f t="shared" si="15"/>
        <v>124.98000000000002</v>
      </c>
    </row>
    <row r="40" spans="2:13" outlineLevel="1" x14ac:dyDescent="0.3">
      <c r="B40" s="16" t="s">
        <v>73</v>
      </c>
      <c r="C40" s="16">
        <f>C39/C6</f>
        <v>4.5977446454249601E-2</v>
      </c>
      <c r="D40" s="16">
        <f t="shared" ref="D40:M40" si="16">D39/D6</f>
        <v>6.6723288602004466E-2</v>
      </c>
      <c r="E40" s="16">
        <f t="shared" si="16"/>
        <v>5.9130588651645603E-2</v>
      </c>
      <c r="F40" s="16">
        <f t="shared" si="16"/>
        <v>8.4277712648169759E-2</v>
      </c>
      <c r="G40" s="16">
        <f t="shared" si="16"/>
        <v>4.0917451044033319E-2</v>
      </c>
      <c r="H40" s="16">
        <f t="shared" si="16"/>
        <v>0.11532125205930796</v>
      </c>
      <c r="I40" s="16">
        <f t="shared" si="16"/>
        <v>9.2530522484264785E-2</v>
      </c>
      <c r="J40" s="16">
        <f t="shared" si="16"/>
        <v>0.10077405396321934</v>
      </c>
      <c r="K40" s="16">
        <f t="shared" si="16"/>
        <v>0.1404691055487487</v>
      </c>
      <c r="L40" s="16">
        <f t="shared" si="16"/>
        <v>0.11884810114233864</v>
      </c>
      <c r="M40" s="16">
        <f t="shared" si="16"/>
        <v>0.11411822714074402</v>
      </c>
    </row>
    <row r="41" spans="2:13" outlineLevel="1" x14ac:dyDescent="0.3"/>
    <row r="42" spans="2:13" outlineLevel="1" x14ac:dyDescent="0.3">
      <c r="B42" s="8" t="s">
        <v>74</v>
      </c>
      <c r="C42">
        <f>IFERROR(DataSheet!B93,0)</f>
        <v>1.46</v>
      </c>
      <c r="D42">
        <f>IFERROR(DataSheet!C93,0)</f>
        <v>1.46</v>
      </c>
      <c r="E42">
        <f>IFERROR(DataSheet!D93,0)</f>
        <v>1.63</v>
      </c>
      <c r="F42">
        <f>IFERROR(DataSheet!E93,0)</f>
        <v>1.63</v>
      </c>
      <c r="G42">
        <f>IFERROR(DataSheet!F93,0)</f>
        <v>1.69</v>
      </c>
      <c r="H42">
        <f>IFERROR(DataSheet!G93,0)</f>
        <v>1.69</v>
      </c>
      <c r="I42">
        <f>IFERROR(DataSheet!H93,0)</f>
        <v>1.69</v>
      </c>
      <c r="J42">
        <f>IFERROR(DataSheet!I93,0)</f>
        <v>1.69</v>
      </c>
      <c r="K42">
        <f>IFERROR(DataSheet!J93,0)</f>
        <v>1.69</v>
      </c>
      <c r="L42">
        <f>IFERROR(DataSheet!K93,0)</f>
        <v>1.69</v>
      </c>
      <c r="M42">
        <f>L42</f>
        <v>1.69</v>
      </c>
    </row>
    <row r="43" spans="2:13" outlineLevel="1" x14ac:dyDescent="0.3"/>
    <row r="44" spans="2:13" outlineLevel="1" x14ac:dyDescent="0.3">
      <c r="B44" s="8" t="s">
        <v>75</v>
      </c>
      <c r="C44" s="14">
        <f>C39/C42</f>
        <v>8.3219178082191778</v>
      </c>
      <c r="D44" s="14">
        <f t="shared" ref="D44:M44" si="17">D39/D42</f>
        <v>13.452054794520558</v>
      </c>
      <c r="E44" s="14">
        <f t="shared" si="17"/>
        <v>12.30061349693251</v>
      </c>
      <c r="F44" s="14">
        <f t="shared" si="17"/>
        <v>23.815950920245374</v>
      </c>
      <c r="G44" s="14">
        <f t="shared" si="17"/>
        <v>11.189349112426035</v>
      </c>
      <c r="H44" s="14">
        <f t="shared" si="17"/>
        <v>32.721893491124227</v>
      </c>
      <c r="I44" s="14">
        <f t="shared" si="17"/>
        <v>36.100591715976321</v>
      </c>
      <c r="J44" s="14">
        <f t="shared" si="17"/>
        <v>56.775147928994102</v>
      </c>
      <c r="K44" s="14">
        <f t="shared" si="17"/>
        <v>75.976331360946872</v>
      </c>
      <c r="L44" s="14">
        <f t="shared" si="17"/>
        <v>72.088757396449651</v>
      </c>
      <c r="M44" s="14">
        <f t="shared" si="17"/>
        <v>73.952662721893503</v>
      </c>
    </row>
    <row r="45" spans="2:13" outlineLevel="1" x14ac:dyDescent="0.3">
      <c r="B45" s="16" t="s">
        <v>76</v>
      </c>
      <c r="D45" s="16">
        <f>D44/C44-1</f>
        <v>0.61646090534979558</v>
      </c>
      <c r="E45" s="16">
        <f t="shared" ref="E45:M45" si="18">E44/D44-1</f>
        <v>-8.5595941674060594E-2</v>
      </c>
      <c r="F45" s="16">
        <f t="shared" si="18"/>
        <v>0.93615960099750506</v>
      </c>
      <c r="G45" s="16">
        <f t="shared" si="18"/>
        <v>-0.53017416143084861</v>
      </c>
      <c r="H45" s="16">
        <f t="shared" si="18"/>
        <v>1.9243786356425145</v>
      </c>
      <c r="I45" s="16">
        <f t="shared" si="18"/>
        <v>0.10325497287522678</v>
      </c>
      <c r="J45" s="16">
        <f t="shared" si="18"/>
        <v>0.57269300114735389</v>
      </c>
      <c r="K45" s="16">
        <f t="shared" si="18"/>
        <v>0.33819697759249778</v>
      </c>
      <c r="L45" s="16">
        <f t="shared" si="18"/>
        <v>-5.1168224299067755E-2</v>
      </c>
      <c r="M45" s="16">
        <f t="shared" si="18"/>
        <v>2.5855700566363993E-2</v>
      </c>
    </row>
    <row r="46" spans="2:13" outlineLevel="1" x14ac:dyDescent="0.3"/>
    <row r="47" spans="2:13" outlineLevel="1" x14ac:dyDescent="0.3">
      <c r="B47" s="8" t="s">
        <v>77</v>
      </c>
      <c r="C47" s="14">
        <f>IFERROR(IF(DataSheet!B31/DataSheet!B93&gt;0,DataSheet!B31/DataSheet!B93,0),0)</f>
        <v>0</v>
      </c>
      <c r="D47" s="14">
        <f>IFERROR(IF(DataSheet!C31/DataSheet!C93&gt;0,DataSheet!C31/DataSheet!C93,0),0)</f>
        <v>0</v>
      </c>
      <c r="E47" s="14">
        <f>IFERROR(IF(DataSheet!D31/DataSheet!D93&gt;0,DataSheet!D31/DataSheet!D93,0),0)</f>
        <v>0</v>
      </c>
      <c r="F47" s="14">
        <f>IFERROR(IF(DataSheet!E31/DataSheet!E93&gt;0,DataSheet!E31/DataSheet!E93,0),0)</f>
        <v>0</v>
      </c>
      <c r="G47" s="14">
        <f>IFERROR(IF(DataSheet!F31/DataSheet!F93&gt;0,DataSheet!F31/DataSheet!F93,0),0)</f>
        <v>0</v>
      </c>
      <c r="H47" s="14">
        <f>IFERROR(IF(DataSheet!G31/DataSheet!G93&gt;0,DataSheet!G31/DataSheet!G93,0),0)</f>
        <v>0</v>
      </c>
      <c r="I47" s="14">
        <f>IFERROR(IF(DataSheet!H31/DataSheet!H93&gt;0,DataSheet!H31/DataSheet!H93,0),0)</f>
        <v>2.5088757396449708</v>
      </c>
      <c r="J47" s="14">
        <f>IFERROR(IF(DataSheet!I31/DataSheet!I93&gt;0,DataSheet!I31/DataSheet!I93,0),0)</f>
        <v>0</v>
      </c>
      <c r="K47" s="14">
        <f>IFERROR(IF(DataSheet!J31/DataSheet!J93&gt;0,DataSheet!J31/DataSheet!J93,0),0)</f>
        <v>2.5088757396449708</v>
      </c>
      <c r="L47" s="14">
        <f>IFERROR(IF(DataSheet!K31/DataSheet!K93&gt;0,DataSheet!K31/DataSheet!K93,0),0)</f>
        <v>0</v>
      </c>
      <c r="M47" s="14">
        <f>IFERROR(IF(DataSheet!L31/DataSheet!L93&gt;0,DataSheet!L31/DataSheet!L93,0),0)</f>
        <v>0</v>
      </c>
    </row>
    <row r="48" spans="2:13" outlineLevel="1" x14ac:dyDescent="0.3">
      <c r="B48" s="16" t="s">
        <v>78</v>
      </c>
      <c r="C48" s="16">
        <f>IFERROR(C47/C44,0)</f>
        <v>0</v>
      </c>
      <c r="D48" s="16">
        <f t="shared" ref="D48:M48" si="19">IFERROR(D47/D44,0)</f>
        <v>0</v>
      </c>
      <c r="E48" s="16">
        <f t="shared" si="19"/>
        <v>0</v>
      </c>
      <c r="F48" s="16">
        <f t="shared" si="19"/>
        <v>0</v>
      </c>
      <c r="G48" s="16">
        <f t="shared" si="19"/>
        <v>0</v>
      </c>
      <c r="H48" s="16">
        <f t="shared" si="19"/>
        <v>0</v>
      </c>
      <c r="I48" s="16">
        <f t="shared" si="19"/>
        <v>6.9496803802655327E-2</v>
      </c>
      <c r="J48" s="16">
        <f t="shared" si="19"/>
        <v>0</v>
      </c>
      <c r="K48" s="16">
        <f t="shared" si="19"/>
        <v>3.3021806853582504E-2</v>
      </c>
      <c r="L48" s="16">
        <f t="shared" si="19"/>
        <v>0</v>
      </c>
      <c r="M48" s="16">
        <f t="shared" si="19"/>
        <v>0</v>
      </c>
    </row>
    <row r="49" spans="1:13" outlineLevel="1" x14ac:dyDescent="0.3"/>
    <row r="50" spans="1:13" outlineLevel="1" x14ac:dyDescent="0.3">
      <c r="B50" s="8" t="s">
        <v>79</v>
      </c>
      <c r="C50" s="13">
        <f>IFERROR(IF(C44&gt;C47,1-C48,0),0)</f>
        <v>1</v>
      </c>
      <c r="D50" s="13">
        <f t="shared" ref="D50:M50" si="20">IFERROR(IF(D44&gt;D47,1-D48,0),0)</f>
        <v>1</v>
      </c>
      <c r="E50" s="13">
        <f t="shared" si="20"/>
        <v>1</v>
      </c>
      <c r="F50" s="13">
        <f t="shared" si="20"/>
        <v>1</v>
      </c>
      <c r="G50" s="13">
        <f t="shared" si="20"/>
        <v>1</v>
      </c>
      <c r="H50" s="13">
        <f t="shared" si="20"/>
        <v>1</v>
      </c>
      <c r="I50" s="13">
        <f t="shared" si="20"/>
        <v>0.93050319619734467</v>
      </c>
      <c r="J50" s="13">
        <f t="shared" si="20"/>
        <v>1</v>
      </c>
      <c r="K50" s="13">
        <f t="shared" si="20"/>
        <v>0.96697819314641753</v>
      </c>
      <c r="L50" s="13">
        <f t="shared" si="20"/>
        <v>1</v>
      </c>
      <c r="M50" s="13">
        <f t="shared" si="20"/>
        <v>1</v>
      </c>
    </row>
    <row r="52" spans="1:13" x14ac:dyDescent="0.3">
      <c r="A52" t="s">
        <v>80</v>
      </c>
      <c r="B52" s="21" t="s">
        <v>118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</row>
    <row r="53" spans="1:13" outlineLevel="1" x14ac:dyDescent="0.3">
      <c r="B53" s="2" t="s">
        <v>31</v>
      </c>
      <c r="C53" s="14">
        <f>DataSheet!B57</f>
        <v>7.32</v>
      </c>
      <c r="D53" s="14">
        <f>DataSheet!C57</f>
        <v>7.32</v>
      </c>
      <c r="E53" s="14">
        <f>DataSheet!D57</f>
        <v>8.17</v>
      </c>
      <c r="F53" s="14">
        <f>DataSheet!E57</f>
        <v>8.17</v>
      </c>
      <c r="G53" s="14">
        <f>DataSheet!F57</f>
        <v>8.4700000000000006</v>
      </c>
      <c r="H53" s="14">
        <f>DataSheet!G57</f>
        <v>8.4700000000000006</v>
      </c>
      <c r="I53" s="14">
        <f>DataSheet!H57</f>
        <v>8.4700000000000006</v>
      </c>
      <c r="J53" s="14">
        <f>DataSheet!I57</f>
        <v>8.4700000000000006</v>
      </c>
      <c r="K53" s="14">
        <f>DataSheet!J57</f>
        <v>8.4700000000000006</v>
      </c>
      <c r="L53" s="14">
        <f>DataSheet!K57</f>
        <v>8.4700000000000006</v>
      </c>
    </row>
    <row r="54" spans="1:13" outlineLevel="1" x14ac:dyDescent="0.3">
      <c r="B54" s="2" t="s">
        <v>32</v>
      </c>
      <c r="C54" s="14">
        <f>DataSheet!B58</f>
        <v>48.88</v>
      </c>
      <c r="D54" s="14">
        <f>DataSheet!C58</f>
        <v>69.209999999999994</v>
      </c>
      <c r="E54" s="14">
        <f>DataSheet!D58</f>
        <v>137.47</v>
      </c>
      <c r="F54" s="14">
        <f>DataSheet!E58</f>
        <v>177.35</v>
      </c>
      <c r="G54" s="14">
        <f>DataSheet!F58</f>
        <v>195.79</v>
      </c>
      <c r="H54" s="14">
        <f>DataSheet!G58</f>
        <v>251.21</v>
      </c>
      <c r="I54" s="14">
        <f>DataSheet!H58</f>
        <v>307.97000000000003</v>
      </c>
      <c r="J54" s="14">
        <f>DataSheet!I58</f>
        <v>403.92</v>
      </c>
      <c r="K54" s="14">
        <f>DataSheet!J58</f>
        <v>528.09</v>
      </c>
      <c r="L54" s="14">
        <f>DataSheet!K58</f>
        <v>649.15</v>
      </c>
    </row>
    <row r="55" spans="1:13" outlineLevel="1" x14ac:dyDescent="0.3">
      <c r="B55" s="2" t="s">
        <v>33</v>
      </c>
      <c r="C55" s="14">
        <f>DataSheet!B59</f>
        <v>116.78</v>
      </c>
      <c r="D55" s="14">
        <f>DataSheet!C59</f>
        <v>184</v>
      </c>
      <c r="E55" s="14">
        <f>DataSheet!D59</f>
        <v>126.8</v>
      </c>
      <c r="F55" s="14">
        <f>DataSheet!E59</f>
        <v>189.05</v>
      </c>
      <c r="G55" s="14">
        <f>DataSheet!F59</f>
        <v>118.48</v>
      </c>
      <c r="H55" s="14">
        <f>DataSheet!G59</f>
        <v>59.15</v>
      </c>
      <c r="I55" s="14">
        <f>DataSheet!H59</f>
        <v>79.42</v>
      </c>
      <c r="J55" s="14">
        <f>DataSheet!I59</f>
        <v>46.93</v>
      </c>
      <c r="K55" s="14">
        <f>DataSheet!J59</f>
        <v>0</v>
      </c>
      <c r="L55" s="14">
        <f>DataSheet!K59</f>
        <v>36.07</v>
      </c>
    </row>
    <row r="56" spans="1:13" outlineLevel="1" x14ac:dyDescent="0.3">
      <c r="B56" s="2" t="s">
        <v>34</v>
      </c>
      <c r="C56" s="14">
        <f>DataSheet!B60</f>
        <v>38.119999999999997</v>
      </c>
      <c r="D56" s="14">
        <f>DataSheet!C60</f>
        <v>42.63</v>
      </c>
      <c r="E56" s="14">
        <f>DataSheet!D60</f>
        <v>55.76</v>
      </c>
      <c r="F56" s="14">
        <f>DataSheet!E60</f>
        <v>63.58</v>
      </c>
      <c r="G56" s="14">
        <f>DataSheet!F60</f>
        <v>72.56</v>
      </c>
      <c r="H56" s="14">
        <f>DataSheet!G60</f>
        <v>88.55</v>
      </c>
      <c r="I56" s="14">
        <f>DataSheet!H60</f>
        <v>93.41</v>
      </c>
      <c r="J56" s="14">
        <f>DataSheet!I60</f>
        <v>79.09</v>
      </c>
      <c r="K56" s="14">
        <f>DataSheet!J60</f>
        <v>69.39</v>
      </c>
      <c r="L56" s="14">
        <f>DataSheet!K60</f>
        <v>84.83</v>
      </c>
    </row>
    <row r="57" spans="1:13" s="8" customFormat="1" outlineLevel="1" x14ac:dyDescent="0.3">
      <c r="B57" s="1" t="s">
        <v>82</v>
      </c>
      <c r="C57" s="24">
        <f>SUM(C53:C56)</f>
        <v>211.10000000000002</v>
      </c>
      <c r="D57" s="24">
        <f t="shared" ref="D57:L57" si="21">SUM(D53:D56)</f>
        <v>303.15999999999997</v>
      </c>
      <c r="E57" s="24">
        <f t="shared" si="21"/>
        <v>328.2</v>
      </c>
      <c r="F57" s="24">
        <f t="shared" si="21"/>
        <v>438.15</v>
      </c>
      <c r="G57" s="24">
        <f t="shared" si="21"/>
        <v>395.3</v>
      </c>
      <c r="H57" s="24">
        <f t="shared" si="21"/>
        <v>407.38</v>
      </c>
      <c r="I57" s="24">
        <f t="shared" si="21"/>
        <v>489.2700000000001</v>
      </c>
      <c r="J57" s="24">
        <f t="shared" si="21"/>
        <v>538.41000000000008</v>
      </c>
      <c r="K57" s="24">
        <f t="shared" si="21"/>
        <v>605.95000000000005</v>
      </c>
      <c r="L57" s="24">
        <f t="shared" si="21"/>
        <v>778.5200000000001</v>
      </c>
    </row>
    <row r="58" spans="1:13" outlineLevel="1" x14ac:dyDescent="0.3">
      <c r="B58" s="1"/>
      <c r="C58" s="14"/>
      <c r="D58" s="14"/>
      <c r="E58" s="14"/>
      <c r="F58" s="14"/>
      <c r="G58" s="14"/>
      <c r="H58" s="14"/>
      <c r="I58" s="14"/>
      <c r="J58" s="14"/>
      <c r="K58" s="14"/>
      <c r="L58" s="14"/>
    </row>
    <row r="59" spans="1:13" outlineLevel="1" x14ac:dyDescent="0.3">
      <c r="B59" s="2" t="s">
        <v>83</v>
      </c>
      <c r="C59" s="14">
        <f>DataSheet!B62</f>
        <v>56.29</v>
      </c>
      <c r="D59" s="14">
        <f>DataSheet!C62</f>
        <v>79.680000000000007</v>
      </c>
      <c r="E59" s="14">
        <f>DataSheet!D62</f>
        <v>185.67</v>
      </c>
      <c r="F59" s="14">
        <f>DataSheet!E62</f>
        <v>233.47</v>
      </c>
      <c r="G59" s="14">
        <f>DataSheet!F62</f>
        <v>194.95</v>
      </c>
      <c r="H59" s="14">
        <f>DataSheet!G62</f>
        <v>187.82</v>
      </c>
      <c r="I59" s="14">
        <f>DataSheet!H62</f>
        <v>178.72</v>
      </c>
      <c r="J59" s="14">
        <f>DataSheet!I62</f>
        <v>171.79</v>
      </c>
      <c r="K59" s="14">
        <f>DataSheet!J62</f>
        <v>175.04</v>
      </c>
      <c r="L59" s="14">
        <f>DataSheet!K62</f>
        <v>177.23</v>
      </c>
    </row>
    <row r="60" spans="1:13" outlineLevel="1" x14ac:dyDescent="0.3">
      <c r="B60" s="2" t="s">
        <v>37</v>
      </c>
      <c r="C60" s="14">
        <f>DataSheet!B63</f>
        <v>56.05</v>
      </c>
      <c r="D60" s="14">
        <f>DataSheet!C63</f>
        <v>108.71</v>
      </c>
      <c r="E60" s="14">
        <f>DataSheet!D63</f>
        <v>0</v>
      </c>
      <c r="F60" s="14">
        <f>DataSheet!E63</f>
        <v>12.68</v>
      </c>
      <c r="G60" s="14">
        <f>DataSheet!F63</f>
        <v>11.19</v>
      </c>
      <c r="H60" s="14">
        <f>DataSheet!G63</f>
        <v>0</v>
      </c>
      <c r="I60" s="14">
        <f>DataSheet!H63</f>
        <v>0</v>
      </c>
      <c r="J60" s="14">
        <f>DataSheet!I63</f>
        <v>12.83</v>
      </c>
      <c r="K60" s="14">
        <f>DataSheet!J63</f>
        <v>1.65</v>
      </c>
      <c r="L60" s="14">
        <f>DataSheet!K63</f>
        <v>83.05</v>
      </c>
    </row>
    <row r="61" spans="1:13" outlineLevel="1" x14ac:dyDescent="0.3">
      <c r="B61" s="2" t="s">
        <v>38</v>
      </c>
      <c r="C61" s="14">
        <f>DataSheet!B64</f>
        <v>0</v>
      </c>
      <c r="D61" s="14">
        <f>DataSheet!C64</f>
        <v>0</v>
      </c>
      <c r="E61" s="14">
        <f>DataSheet!D64</f>
        <v>0</v>
      </c>
      <c r="F61" s="14">
        <f>DataSheet!E64</f>
        <v>1.1399999999999999</v>
      </c>
      <c r="G61" s="14">
        <f>DataSheet!F64</f>
        <v>1.5</v>
      </c>
      <c r="H61" s="14">
        <f>DataSheet!G64</f>
        <v>1.5</v>
      </c>
      <c r="I61" s="14">
        <f>DataSheet!H64</f>
        <v>2.5</v>
      </c>
      <c r="J61" s="14">
        <f>DataSheet!I64</f>
        <v>2.5</v>
      </c>
      <c r="K61" s="14">
        <f>DataSheet!J64</f>
        <v>1.36</v>
      </c>
      <c r="L61" s="14">
        <f>DataSheet!K64</f>
        <v>1.36</v>
      </c>
    </row>
    <row r="62" spans="1:13" outlineLevel="1" x14ac:dyDescent="0.3">
      <c r="B62" s="2" t="s">
        <v>39</v>
      </c>
      <c r="C62" s="14">
        <f>DataSheet!B65-(SUM(DataSheet!B67:B69))</f>
        <v>13.810000000000016</v>
      </c>
      <c r="D62" s="14">
        <f>DataSheet!C65-(SUM(DataSheet!C67:C69))</f>
        <v>12.560000000000002</v>
      </c>
      <c r="E62" s="14">
        <f>DataSheet!D65-(SUM(DataSheet!D67:D69))</f>
        <v>25.739999999999995</v>
      </c>
      <c r="F62" s="14">
        <f>DataSheet!E65-(SUM(DataSheet!E67:E69))</f>
        <v>43.489999999999981</v>
      </c>
      <c r="G62" s="14">
        <f>DataSheet!F65-(SUM(DataSheet!F67:F69))</f>
        <v>27.419999999999987</v>
      </c>
      <c r="H62" s="14">
        <f>DataSheet!G65-(SUM(DataSheet!G67:G69))</f>
        <v>32.430000000000007</v>
      </c>
      <c r="I62" s="14">
        <f>DataSheet!H65-(SUM(DataSheet!H67:H69))</f>
        <v>48.70999999999998</v>
      </c>
      <c r="J62" s="14">
        <f>DataSheet!I65-(SUM(DataSheet!I67:I69))</f>
        <v>39.930000000000064</v>
      </c>
      <c r="K62" s="14">
        <f>DataSheet!J65-(SUM(DataSheet!J67:J69))</f>
        <v>49.209999999999923</v>
      </c>
      <c r="L62" s="14">
        <f>DataSheet!K65-(SUM(DataSheet!K67:K69))</f>
        <v>78.159999999999968</v>
      </c>
    </row>
    <row r="63" spans="1:13" s="8" customFormat="1" outlineLevel="1" x14ac:dyDescent="0.3">
      <c r="B63" s="1" t="s">
        <v>84</v>
      </c>
      <c r="C63" s="24">
        <f>SUM(C59:C62)</f>
        <v>126.15000000000002</v>
      </c>
      <c r="D63" s="24">
        <f t="shared" ref="D63:K63" si="22">SUM(D59:D62)</f>
        <v>200.95</v>
      </c>
      <c r="E63" s="24">
        <f t="shared" si="22"/>
        <v>211.40999999999997</v>
      </c>
      <c r="F63" s="24">
        <f t="shared" si="22"/>
        <v>290.77999999999997</v>
      </c>
      <c r="G63" s="24">
        <f t="shared" si="22"/>
        <v>235.05999999999997</v>
      </c>
      <c r="H63" s="24">
        <f t="shared" si="22"/>
        <v>221.75</v>
      </c>
      <c r="I63" s="24">
        <f t="shared" si="22"/>
        <v>229.92999999999998</v>
      </c>
      <c r="J63" s="24">
        <f t="shared" si="22"/>
        <v>227.05000000000007</v>
      </c>
      <c r="K63" s="24">
        <f t="shared" si="22"/>
        <v>227.25999999999993</v>
      </c>
      <c r="L63" s="24">
        <f>SUM(L59:L62)</f>
        <v>339.79999999999995</v>
      </c>
    </row>
    <row r="64" spans="1:13" outlineLevel="1" x14ac:dyDescent="0.3">
      <c r="B64" s="1"/>
      <c r="C64" s="14"/>
      <c r="D64" s="14"/>
      <c r="E64" s="14"/>
      <c r="F64" s="14"/>
      <c r="G64" s="14"/>
      <c r="H64" s="14"/>
      <c r="I64" s="14"/>
      <c r="J64" s="14"/>
      <c r="K64" s="14"/>
      <c r="L64" s="14"/>
    </row>
    <row r="65" spans="1:17" outlineLevel="1" x14ac:dyDescent="0.3">
      <c r="B65" s="2" t="s">
        <v>40</v>
      </c>
      <c r="C65" s="14">
        <f>IFERROR(DataSheet!B67,0)</f>
        <v>40.1</v>
      </c>
      <c r="D65" s="14">
        <f>IFERROR(DataSheet!C67,0)</f>
        <v>46.91</v>
      </c>
      <c r="E65" s="14">
        <f>IFERROR(DataSheet!D67,0)</f>
        <v>57.21</v>
      </c>
      <c r="F65" s="14">
        <f>IFERROR(DataSheet!E67,0)</f>
        <v>78.930000000000007</v>
      </c>
      <c r="G65" s="14">
        <f>IFERROR(DataSheet!F67,0)</f>
        <v>87.39</v>
      </c>
      <c r="H65" s="14">
        <f>IFERROR(DataSheet!G67,0)</f>
        <v>98.64</v>
      </c>
      <c r="I65" s="14">
        <f>IFERROR(DataSheet!H67,0)</f>
        <v>118.77</v>
      </c>
      <c r="J65" s="14">
        <f>IFERROR(DataSheet!I67,0)</f>
        <v>125.85</v>
      </c>
      <c r="K65" s="14">
        <f>IFERROR(DataSheet!J67,0)</f>
        <v>161.09</v>
      </c>
      <c r="L65" s="14">
        <f>IFERROR(DataSheet!K67,0)</f>
        <v>203.86</v>
      </c>
    </row>
    <row r="66" spans="1:17" outlineLevel="1" x14ac:dyDescent="0.3">
      <c r="B66" s="2" t="s">
        <v>41</v>
      </c>
      <c r="C66" s="14">
        <f>IFERROR(DataSheet!B68,0)</f>
        <v>43.19</v>
      </c>
      <c r="D66" s="14">
        <f>IFERROR(DataSheet!C68,0)</f>
        <v>53.94</v>
      </c>
      <c r="E66" s="14">
        <f>IFERROR(DataSheet!D68,0)</f>
        <v>58.72</v>
      </c>
      <c r="F66" s="14">
        <f>IFERROR(DataSheet!E68,0)</f>
        <v>66.23</v>
      </c>
      <c r="G66" s="14">
        <f>IFERROR(DataSheet!F68,0)</f>
        <v>66.73</v>
      </c>
      <c r="H66" s="14">
        <f>IFERROR(DataSheet!G68,0)</f>
        <v>71.849999999999994</v>
      </c>
      <c r="I66" s="14">
        <f>IFERROR(DataSheet!H68,0)</f>
        <v>132.9</v>
      </c>
      <c r="J66" s="14">
        <f>IFERROR(DataSheet!I68,0)</f>
        <v>159.82</v>
      </c>
      <c r="K66" s="14">
        <f>IFERROR(DataSheet!J68,0)</f>
        <v>145.12</v>
      </c>
      <c r="L66" s="14">
        <f>IFERROR(DataSheet!K68,0)</f>
        <v>185.26</v>
      </c>
      <c r="Q66">
        <f>365/D6*D65</f>
        <v>58.169356208595197</v>
      </c>
    </row>
    <row r="67" spans="1:17" outlineLevel="1" x14ac:dyDescent="0.3">
      <c r="B67" s="2" t="s">
        <v>42</v>
      </c>
      <c r="C67" s="14">
        <f>IFERROR(DataSheet!B69,0)</f>
        <v>1.66</v>
      </c>
      <c r="D67" s="14">
        <f>IFERROR(DataSheet!C69,0)</f>
        <v>1.36</v>
      </c>
      <c r="E67" s="14">
        <f>IFERROR(DataSheet!D69,0)</f>
        <v>0.86</v>
      </c>
      <c r="F67" s="14">
        <f>IFERROR(DataSheet!E69,0)</f>
        <v>2.21</v>
      </c>
      <c r="G67" s="14">
        <f>IFERROR(DataSheet!F69,0)</f>
        <v>6.12</v>
      </c>
      <c r="H67" s="14">
        <f>IFERROR(DataSheet!G69,0)</f>
        <v>15.14</v>
      </c>
      <c r="I67" s="14">
        <f>IFERROR(DataSheet!H69,0)</f>
        <v>7.67</v>
      </c>
      <c r="J67" s="14">
        <f>IFERROR(DataSheet!I69,0)</f>
        <v>25.69</v>
      </c>
      <c r="K67" s="14">
        <f>IFERROR(DataSheet!J69,0)</f>
        <v>72.48</v>
      </c>
      <c r="L67" s="14">
        <f>IFERROR(DataSheet!K69,0)</f>
        <v>49.6</v>
      </c>
    </row>
    <row r="68" spans="1:17" s="8" customFormat="1" outlineLevel="1" x14ac:dyDescent="0.3">
      <c r="B68" s="23" t="s">
        <v>85</v>
      </c>
      <c r="C68" s="24">
        <f>SUM(C65:C67)</f>
        <v>84.949999999999989</v>
      </c>
      <c r="D68" s="24">
        <f t="shared" ref="D68:L68" si="23">SUM(D65:D67)</f>
        <v>102.21</v>
      </c>
      <c r="E68" s="24">
        <f t="shared" si="23"/>
        <v>116.79</v>
      </c>
      <c r="F68" s="24">
        <f t="shared" si="23"/>
        <v>147.37000000000003</v>
      </c>
      <c r="G68" s="24">
        <f t="shared" si="23"/>
        <v>160.24</v>
      </c>
      <c r="H68" s="24">
        <f t="shared" si="23"/>
        <v>185.63</v>
      </c>
      <c r="I68" s="24">
        <f t="shared" si="23"/>
        <v>259.34000000000003</v>
      </c>
      <c r="J68" s="24">
        <f t="shared" si="23"/>
        <v>311.35999999999996</v>
      </c>
      <c r="K68" s="24">
        <f t="shared" si="23"/>
        <v>378.69000000000005</v>
      </c>
      <c r="L68" s="24">
        <f t="shared" si="23"/>
        <v>438.72</v>
      </c>
    </row>
    <row r="69" spans="1:17" outlineLevel="1" x14ac:dyDescent="0.3">
      <c r="C69" s="14"/>
      <c r="D69" s="14"/>
      <c r="E69" s="14"/>
      <c r="F69" s="14"/>
      <c r="G69" s="14"/>
      <c r="H69" s="14"/>
      <c r="I69" s="14"/>
      <c r="J69" s="14"/>
      <c r="K69" s="14"/>
      <c r="L69" s="14"/>
    </row>
    <row r="70" spans="1:17" outlineLevel="1" x14ac:dyDescent="0.3">
      <c r="B70" s="23" t="s">
        <v>86</v>
      </c>
      <c r="C70" s="14">
        <f>C63+C68</f>
        <v>211.10000000000002</v>
      </c>
      <c r="D70" s="14">
        <f t="shared" ref="D70:L70" si="24">D63+D68</f>
        <v>303.15999999999997</v>
      </c>
      <c r="E70" s="14">
        <f t="shared" si="24"/>
        <v>328.2</v>
      </c>
      <c r="F70" s="14">
        <f t="shared" si="24"/>
        <v>438.15</v>
      </c>
      <c r="G70" s="14">
        <f t="shared" si="24"/>
        <v>395.29999999999995</v>
      </c>
      <c r="H70" s="14">
        <f t="shared" si="24"/>
        <v>407.38</v>
      </c>
      <c r="I70" s="14">
        <f t="shared" si="24"/>
        <v>489.27</v>
      </c>
      <c r="J70" s="14">
        <f t="shared" si="24"/>
        <v>538.41000000000008</v>
      </c>
      <c r="K70" s="14">
        <f t="shared" si="24"/>
        <v>605.95000000000005</v>
      </c>
      <c r="L70" s="14">
        <f t="shared" si="24"/>
        <v>778.52</v>
      </c>
    </row>
    <row r="71" spans="1:17" outlineLevel="1" x14ac:dyDescent="0.3"/>
    <row r="72" spans="1:17" s="8" customFormat="1" outlineLevel="1" x14ac:dyDescent="0.3">
      <c r="B72" s="8" t="s">
        <v>87</v>
      </c>
      <c r="C72" s="8" t="b">
        <f>C70=C57</f>
        <v>1</v>
      </c>
      <c r="D72" s="8" t="b">
        <f t="shared" ref="D72:L72" si="25">D70=D57</f>
        <v>1</v>
      </c>
      <c r="E72" s="8" t="b">
        <f t="shared" si="25"/>
        <v>1</v>
      </c>
      <c r="F72" s="8" t="b">
        <f t="shared" si="25"/>
        <v>1</v>
      </c>
      <c r="G72" s="8" t="b">
        <f t="shared" si="25"/>
        <v>1</v>
      </c>
      <c r="H72" s="8" t="b">
        <f t="shared" si="25"/>
        <v>1</v>
      </c>
      <c r="I72" s="8" t="b">
        <f t="shared" si="25"/>
        <v>1</v>
      </c>
      <c r="J72" s="8" t="b">
        <f t="shared" si="25"/>
        <v>1</v>
      </c>
      <c r="K72" s="8" t="b">
        <f t="shared" si="25"/>
        <v>1</v>
      </c>
      <c r="L72" s="8" t="b">
        <f t="shared" si="25"/>
        <v>1</v>
      </c>
    </row>
    <row r="74" spans="1:17" x14ac:dyDescent="0.3">
      <c r="A74" t="s">
        <v>80</v>
      </c>
      <c r="B74" s="21" t="s">
        <v>88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</row>
    <row r="75" spans="1:17" outlineLevel="1" x14ac:dyDescent="0.3">
      <c r="B75" s="8" t="s">
        <v>112</v>
      </c>
    </row>
    <row r="76" spans="1:17" outlineLevel="1" x14ac:dyDescent="0.3">
      <c r="B76" t="s">
        <v>89</v>
      </c>
      <c r="C76" s="26">
        <f>IFERROR('Cash Flow Statement '!C4,0)</f>
        <v>31</v>
      </c>
      <c r="D76" s="26">
        <f>IFERROR('Cash Flow Statement '!D4,0)</f>
        <v>45</v>
      </c>
      <c r="E76" s="26">
        <f>IFERROR('Cash Flow Statement '!E4,0)</f>
        <v>45</v>
      </c>
      <c r="F76" s="26">
        <f>IFERROR('Cash Flow Statement '!F4,0)</f>
        <v>78</v>
      </c>
      <c r="G76" s="26">
        <f>IFERROR('Cash Flow Statement '!G4,0)</f>
        <v>78</v>
      </c>
      <c r="H76" s="26">
        <f>IFERROR('Cash Flow Statement '!H4,0)</f>
        <v>98</v>
      </c>
      <c r="I76" s="26">
        <f>IFERROR('Cash Flow Statement '!I4,0)</f>
        <v>100</v>
      </c>
      <c r="J76" s="26">
        <f>IFERROR('Cash Flow Statement '!J4,0)</f>
        <v>151</v>
      </c>
      <c r="K76" s="26">
        <f>IFERROR('Cash Flow Statement '!K4,0)</f>
        <v>185</v>
      </c>
      <c r="L76" s="26">
        <f>IFERROR('Cash Flow Statement '!L4,0)</f>
        <v>188</v>
      </c>
      <c r="M76" s="26"/>
    </row>
    <row r="77" spans="1:17" outlineLevel="1" x14ac:dyDescent="0.3">
      <c r="B77" t="s">
        <v>40</v>
      </c>
      <c r="C77" s="26">
        <f>IFERROR('Cash Flow Statement '!C5,0)</f>
        <v>-7</v>
      </c>
      <c r="D77" s="26">
        <f>IFERROR('Cash Flow Statement '!D5,0)</f>
        <v>-10</v>
      </c>
      <c r="E77" s="26">
        <f>IFERROR('Cash Flow Statement '!E5,0)</f>
        <v>-22</v>
      </c>
      <c r="F77" s="26">
        <f>IFERROR('Cash Flow Statement '!F5,0)</f>
        <v>-23</v>
      </c>
      <c r="G77" s="26">
        <f>IFERROR('Cash Flow Statement '!G5,0)</f>
        <v>-7</v>
      </c>
      <c r="H77" s="26">
        <f>IFERROR('Cash Flow Statement '!H5,0)</f>
        <v>-14</v>
      </c>
      <c r="I77" s="26">
        <f>IFERROR('Cash Flow Statement '!I5,0)</f>
        <v>-20</v>
      </c>
      <c r="J77" s="26">
        <f>IFERROR('Cash Flow Statement '!J5,0)</f>
        <v>-7</v>
      </c>
      <c r="K77" s="26">
        <f>IFERROR('Cash Flow Statement '!K5,0)</f>
        <v>-39</v>
      </c>
      <c r="L77" s="26">
        <f>IFERROR('Cash Flow Statement '!L5,0)</f>
        <v>-43</v>
      </c>
      <c r="M77" s="26"/>
    </row>
    <row r="78" spans="1:17" outlineLevel="1" x14ac:dyDescent="0.3">
      <c r="B78" t="s">
        <v>41</v>
      </c>
      <c r="C78" s="26">
        <f>IFERROR('Cash Flow Statement '!C6,0)</f>
        <v>-18</v>
      </c>
      <c r="D78" s="26">
        <f>IFERROR('Cash Flow Statement '!D6,0)</f>
        <v>-11</v>
      </c>
      <c r="E78" s="26">
        <f>IFERROR('Cash Flow Statement '!E6,0)</f>
        <v>-5</v>
      </c>
      <c r="F78" s="26">
        <f>IFERROR('Cash Flow Statement '!F6,0)</f>
        <v>-5</v>
      </c>
      <c r="G78" s="26">
        <f>IFERROR('Cash Flow Statement '!G6,0)</f>
        <v>0</v>
      </c>
      <c r="H78" s="26">
        <f>IFERROR('Cash Flow Statement '!H6,0)</f>
        <v>-5</v>
      </c>
      <c r="I78" s="26">
        <f>IFERROR('Cash Flow Statement '!I6,0)</f>
        <v>-61</v>
      </c>
      <c r="J78" s="26">
        <f>IFERROR('Cash Flow Statement '!J6,0)</f>
        <v>-27</v>
      </c>
      <c r="K78" s="26">
        <f>IFERROR('Cash Flow Statement '!K6,0)</f>
        <v>15</v>
      </c>
      <c r="L78" s="26">
        <f>IFERROR('Cash Flow Statement '!L6,0)</f>
        <v>-40</v>
      </c>
      <c r="M78" s="26"/>
    </row>
    <row r="79" spans="1:17" outlineLevel="1" x14ac:dyDescent="0.3">
      <c r="B79" t="s">
        <v>90</v>
      </c>
      <c r="C79" s="26">
        <f>IFERROR('Cash Flow Statement '!C7,0)</f>
        <v>7</v>
      </c>
      <c r="D79" s="26">
        <f>IFERROR('Cash Flow Statement '!D7,0)</f>
        <v>9</v>
      </c>
      <c r="E79" s="26">
        <f>IFERROR('Cash Flow Statement '!E7,0)</f>
        <v>12</v>
      </c>
      <c r="F79" s="26">
        <f>IFERROR('Cash Flow Statement '!F7,0)</f>
        <v>-12</v>
      </c>
      <c r="G79" s="26">
        <f>IFERROR('Cash Flow Statement '!G7,0)</f>
        <v>13</v>
      </c>
      <c r="H79" s="26">
        <f>IFERROR('Cash Flow Statement '!H7,0)</f>
        <v>17</v>
      </c>
      <c r="I79" s="26">
        <f>IFERROR('Cash Flow Statement '!I7,0)</f>
        <v>10</v>
      </c>
      <c r="J79" s="26">
        <f>IFERROR('Cash Flow Statement '!J7,0)</f>
        <v>-25</v>
      </c>
      <c r="K79" s="26">
        <f>IFERROR('Cash Flow Statement '!K7,0)</f>
        <v>-4</v>
      </c>
      <c r="L79" s="26">
        <f>IFERROR('Cash Flow Statement '!L7,0)</f>
        <v>9</v>
      </c>
      <c r="M79" s="26"/>
    </row>
    <row r="80" spans="1:17" outlineLevel="1" x14ac:dyDescent="0.3">
      <c r="B80" t="s">
        <v>91</v>
      </c>
      <c r="C80" s="26">
        <f>IFERROR('Cash Flow Statement '!C8,0)</f>
        <v>-4</v>
      </c>
      <c r="D80" s="26">
        <f>IFERROR('Cash Flow Statement '!D8,0)</f>
        <v>0</v>
      </c>
      <c r="E80" s="26">
        <f>IFERROR('Cash Flow Statement '!E8,0)</f>
        <v>0</v>
      </c>
      <c r="F80" s="26">
        <f>IFERROR('Cash Flow Statement '!F8,0)</f>
        <v>0</v>
      </c>
      <c r="G80" s="26">
        <f>IFERROR('Cash Flow Statement '!G8,0)</f>
        <v>0</v>
      </c>
      <c r="H80" s="26">
        <f>IFERROR('Cash Flow Statement '!H8,0)</f>
        <v>0</v>
      </c>
      <c r="I80" s="26">
        <f>IFERROR('Cash Flow Statement '!I8,0)</f>
        <v>0</v>
      </c>
      <c r="J80" s="26">
        <f>IFERROR('Cash Flow Statement '!J8,0)</f>
        <v>0</v>
      </c>
      <c r="K80" s="26">
        <f>IFERROR('Cash Flow Statement '!K8,0)</f>
        <v>0</v>
      </c>
      <c r="L80" s="26">
        <f>IFERROR('Cash Flow Statement '!L8,0)</f>
        <v>0</v>
      </c>
      <c r="M80" s="26"/>
    </row>
    <row r="81" spans="2:13" outlineLevel="1" x14ac:dyDescent="0.3">
      <c r="B81" t="s">
        <v>92</v>
      </c>
      <c r="C81" s="26">
        <f>IFERROR('Cash Flow Statement '!C9,0)</f>
        <v>8</v>
      </c>
      <c r="D81" s="26">
        <f>IFERROR('Cash Flow Statement '!D9,0)</f>
        <v>0</v>
      </c>
      <c r="E81" s="26">
        <f>IFERROR('Cash Flow Statement '!E9,0)</f>
        <v>0</v>
      </c>
      <c r="F81" s="26">
        <f>IFERROR('Cash Flow Statement '!F9,0)</f>
        <v>0</v>
      </c>
      <c r="G81" s="26">
        <f>IFERROR('Cash Flow Statement '!G9,0)</f>
        <v>0</v>
      </c>
      <c r="H81" s="26">
        <f>IFERROR('Cash Flow Statement '!H9,0)</f>
        <v>0</v>
      </c>
      <c r="I81" s="26">
        <f>IFERROR('Cash Flow Statement '!I9,0)</f>
        <v>0</v>
      </c>
      <c r="J81" s="26">
        <f>IFERROR('Cash Flow Statement '!J9,0)</f>
        <v>0</v>
      </c>
      <c r="K81" s="26">
        <f>IFERROR('Cash Flow Statement '!K9,0)</f>
        <v>-4</v>
      </c>
      <c r="L81" s="26">
        <f>IFERROR('Cash Flow Statement '!L9,0)</f>
        <v>38</v>
      </c>
      <c r="M81" s="26"/>
    </row>
    <row r="82" spans="2:13" outlineLevel="1" x14ac:dyDescent="0.3">
      <c r="B82" t="s">
        <v>93</v>
      </c>
      <c r="C82" s="26">
        <f>IFERROR('Cash Flow Statement '!C10,0)</f>
        <v>-14</v>
      </c>
      <c r="D82" s="26">
        <f>IFERROR('Cash Flow Statement '!D10,0)</f>
        <v>-12</v>
      </c>
      <c r="E82" s="26">
        <f>IFERROR('Cash Flow Statement '!E10,0)</f>
        <v>-15</v>
      </c>
      <c r="F82" s="26">
        <f>IFERROR('Cash Flow Statement '!F10,0)</f>
        <v>-41</v>
      </c>
      <c r="G82" s="26">
        <f>IFERROR('Cash Flow Statement '!G10,0)</f>
        <v>6</v>
      </c>
      <c r="H82" s="26">
        <f>IFERROR('Cash Flow Statement '!H10,0)</f>
        <v>-2</v>
      </c>
      <c r="I82" s="26">
        <f>IFERROR('Cash Flow Statement '!I10,0)</f>
        <v>-71</v>
      </c>
      <c r="J82" s="26">
        <f>IFERROR('Cash Flow Statement '!J10,0)</f>
        <v>-59</v>
      </c>
      <c r="K82" s="26">
        <f>IFERROR('Cash Flow Statement '!K10,0)</f>
        <v>-33</v>
      </c>
      <c r="L82" s="26">
        <f>IFERROR('Cash Flow Statement '!L10,0)</f>
        <v>-36</v>
      </c>
      <c r="M82" s="26"/>
    </row>
    <row r="83" spans="2:13" outlineLevel="1" x14ac:dyDescent="0.3">
      <c r="B83" t="s">
        <v>94</v>
      </c>
      <c r="C83" s="26">
        <f>IFERROR('Cash Flow Statement '!C11,0)</f>
        <v>-5</v>
      </c>
      <c r="D83" s="26">
        <f>IFERROR('Cash Flow Statement '!D11,0)</f>
        <v>-8</v>
      </c>
      <c r="E83" s="26">
        <f>IFERROR('Cash Flow Statement '!E11,0)</f>
        <v>-11</v>
      </c>
      <c r="F83" s="26">
        <f>IFERROR('Cash Flow Statement '!F11,0)</f>
        <v>-9</v>
      </c>
      <c r="G83" s="26">
        <f>IFERROR('Cash Flow Statement '!G11,0)</f>
        <v>-17</v>
      </c>
      <c r="H83" s="26">
        <f>IFERROR('Cash Flow Statement '!H11,0)</f>
        <v>-17</v>
      </c>
      <c r="I83" s="26">
        <f>IFERROR('Cash Flow Statement '!I11,0)</f>
        <v>-19</v>
      </c>
      <c r="J83" s="26">
        <f>IFERROR('Cash Flow Statement '!J11,0)</f>
        <v>-26</v>
      </c>
      <c r="K83" s="26">
        <f>IFERROR('Cash Flow Statement '!K11,0)</f>
        <v>-43</v>
      </c>
      <c r="L83" s="26">
        <f>IFERROR('Cash Flow Statement '!L11,0)</f>
        <v>-44</v>
      </c>
      <c r="M83" s="26"/>
    </row>
    <row r="84" spans="2:13" outlineLevel="1" x14ac:dyDescent="0.3">
      <c r="B84" t="s">
        <v>95</v>
      </c>
      <c r="C84" s="26">
        <f>IFERROR('Cash Flow Statement '!C12,0)</f>
        <v>0</v>
      </c>
      <c r="D84" s="26">
        <f>IFERROR('Cash Flow Statement '!D12,0)</f>
        <v>0</v>
      </c>
      <c r="E84" s="26">
        <f>IFERROR('Cash Flow Statement '!E12,0)</f>
        <v>0</v>
      </c>
      <c r="F84" s="26">
        <f>IFERROR('Cash Flow Statement '!F12,0)</f>
        <v>0</v>
      </c>
      <c r="G84" s="26">
        <f>IFERROR('Cash Flow Statement '!G12,0)</f>
        <v>0</v>
      </c>
      <c r="H84" s="26">
        <f>IFERROR('Cash Flow Statement '!H12,0)</f>
        <v>0</v>
      </c>
      <c r="I84" s="26">
        <f>IFERROR('Cash Flow Statement '!I12,0)</f>
        <v>-4</v>
      </c>
      <c r="J84" s="26">
        <f>IFERROR('Cash Flow Statement '!J12,0)</f>
        <v>0</v>
      </c>
      <c r="K84" s="26">
        <f>IFERROR('Cash Flow Statement '!K12,0)</f>
        <v>0</v>
      </c>
      <c r="L84" s="26">
        <f>IFERROR('Cash Flow Statement '!L12,0)</f>
        <v>0</v>
      </c>
      <c r="M84" s="26"/>
    </row>
    <row r="85" spans="2:13" outlineLevel="1" x14ac:dyDescent="0.3">
      <c r="B85" s="8" t="s">
        <v>117</v>
      </c>
      <c r="C85" s="27">
        <f>SUM(C76:C84)</f>
        <v>-2</v>
      </c>
      <c r="D85" s="27">
        <f t="shared" ref="D85:L85" si="26">SUM(D76:D84)</f>
        <v>13</v>
      </c>
      <c r="E85" s="27">
        <f t="shared" si="26"/>
        <v>4</v>
      </c>
      <c r="F85" s="27">
        <f t="shared" si="26"/>
        <v>-12</v>
      </c>
      <c r="G85" s="27">
        <f t="shared" si="26"/>
        <v>73</v>
      </c>
      <c r="H85" s="27">
        <f t="shared" si="26"/>
        <v>77</v>
      </c>
      <c r="I85" s="27">
        <f t="shared" si="26"/>
        <v>-65</v>
      </c>
      <c r="J85" s="27">
        <f t="shared" si="26"/>
        <v>7</v>
      </c>
      <c r="K85" s="27">
        <f t="shared" si="26"/>
        <v>77</v>
      </c>
      <c r="L85" s="27">
        <f t="shared" si="26"/>
        <v>72</v>
      </c>
    </row>
    <row r="86" spans="2:13" outlineLevel="1" x14ac:dyDescent="0.3"/>
    <row r="87" spans="2:13" outlineLevel="1" x14ac:dyDescent="0.3">
      <c r="B87" s="8" t="s">
        <v>113</v>
      </c>
    </row>
    <row r="88" spans="2:13" outlineLevel="1" x14ac:dyDescent="0.3">
      <c r="B88" t="s">
        <v>96</v>
      </c>
      <c r="C88" s="26">
        <f>IFERROR('Cash Flow Statement '!C15,0)</f>
        <v>-38</v>
      </c>
      <c r="D88" s="26">
        <f>IFERROR('Cash Flow Statement '!D15,0)</f>
        <v>-77</v>
      </c>
      <c r="E88" s="26">
        <f>IFERROR('Cash Flow Statement '!E15,0)</f>
        <v>-10</v>
      </c>
      <c r="F88" s="26">
        <f>IFERROR('Cash Flow Statement '!F15,0)</f>
        <v>-46</v>
      </c>
      <c r="G88" s="26">
        <f>IFERROR('Cash Flow Statement '!G15,0)</f>
        <v>-172</v>
      </c>
      <c r="H88" s="26">
        <f>IFERROR('Cash Flow Statement '!H15,0)</f>
        <v>-7</v>
      </c>
      <c r="I88" s="26">
        <f>IFERROR('Cash Flow Statement '!I15,0)</f>
        <v>-14</v>
      </c>
      <c r="J88" s="26">
        <f>IFERROR('Cash Flow Statement '!J15,0)</f>
        <v>-26</v>
      </c>
      <c r="K88" s="26">
        <f>IFERROR('Cash Flow Statement '!K15,0)</f>
        <v>-19</v>
      </c>
      <c r="L88" s="26">
        <f>IFERROR('Cash Flow Statement '!L15,0)</f>
        <v>-108</v>
      </c>
    </row>
    <row r="89" spans="2:13" outlineLevel="1" x14ac:dyDescent="0.3">
      <c r="B89" t="s">
        <v>97</v>
      </c>
      <c r="C89" s="26">
        <f>IFERROR('Cash Flow Statement '!C16,0)</f>
        <v>0</v>
      </c>
      <c r="D89" s="26">
        <f>IFERROR('Cash Flow Statement '!D16,0)</f>
        <v>0</v>
      </c>
      <c r="E89" s="26">
        <f>IFERROR('Cash Flow Statement '!E16,0)</f>
        <v>1</v>
      </c>
      <c r="F89" s="26">
        <f>IFERROR('Cash Flow Statement '!F16,0)</f>
        <v>0</v>
      </c>
      <c r="G89" s="26">
        <f>IFERROR('Cash Flow Statement '!G16,0)</f>
        <v>148</v>
      </c>
      <c r="H89" s="26">
        <f>IFERROR('Cash Flow Statement '!H16,0)</f>
        <v>1</v>
      </c>
      <c r="I89" s="26">
        <f>IFERROR('Cash Flow Statement '!I16,0)</f>
        <v>1</v>
      </c>
      <c r="J89" s="26">
        <f>IFERROR('Cash Flow Statement '!J16,0)</f>
        <v>0</v>
      </c>
      <c r="K89" s="26">
        <f>IFERROR('Cash Flow Statement '!K16,0)</f>
        <v>5</v>
      </c>
      <c r="L89" s="26">
        <f>IFERROR('Cash Flow Statement '!L16,0)</f>
        <v>1</v>
      </c>
    </row>
    <row r="90" spans="2:13" outlineLevel="1" x14ac:dyDescent="0.3">
      <c r="B90" t="s">
        <v>98</v>
      </c>
      <c r="C90" s="26">
        <f>IFERROR('Cash Flow Statement '!C17,0)</f>
        <v>0</v>
      </c>
      <c r="D90" s="26">
        <f>IFERROR('Cash Flow Statement '!D17,0)</f>
        <v>0</v>
      </c>
      <c r="E90" s="26">
        <f>IFERROR('Cash Flow Statement '!E17,0)</f>
        <v>0</v>
      </c>
      <c r="F90" s="26">
        <f>IFERROR('Cash Flow Statement '!F17,0)</f>
        <v>0</v>
      </c>
      <c r="G90" s="26">
        <f>IFERROR('Cash Flow Statement '!G17,0)</f>
        <v>0</v>
      </c>
      <c r="H90" s="26">
        <f>IFERROR('Cash Flow Statement '!H17,0)</f>
        <v>0</v>
      </c>
      <c r="I90" s="26">
        <f>IFERROR('Cash Flow Statement '!I17,0)</f>
        <v>0</v>
      </c>
      <c r="J90" s="26">
        <f>IFERROR('Cash Flow Statement '!J17,0)</f>
        <v>0</v>
      </c>
      <c r="K90" s="26">
        <f>IFERROR('Cash Flow Statement '!K17,0)</f>
        <v>0</v>
      </c>
      <c r="L90" s="26">
        <f>IFERROR('Cash Flow Statement '!L17,0)</f>
        <v>0</v>
      </c>
    </row>
    <row r="91" spans="2:13" outlineLevel="1" x14ac:dyDescent="0.3">
      <c r="B91" t="s">
        <v>99</v>
      </c>
      <c r="C91" s="26">
        <f>IFERROR('Cash Flow Statement '!C18,0)</f>
        <v>0</v>
      </c>
      <c r="D91" s="26">
        <f>IFERROR('Cash Flow Statement '!D18,0)</f>
        <v>0</v>
      </c>
      <c r="E91" s="26">
        <f>IFERROR('Cash Flow Statement '!E18,0)</f>
        <v>0</v>
      </c>
      <c r="F91" s="26">
        <f>IFERROR('Cash Flow Statement '!F18,0)</f>
        <v>0</v>
      </c>
      <c r="G91" s="26">
        <f>IFERROR('Cash Flow Statement '!G18,0)</f>
        <v>0</v>
      </c>
      <c r="H91" s="26">
        <f>IFERROR('Cash Flow Statement '!H18,0)</f>
        <v>0</v>
      </c>
      <c r="I91" s="26">
        <f>IFERROR('Cash Flow Statement '!I18,0)</f>
        <v>-6</v>
      </c>
      <c r="J91" s="26">
        <f>IFERROR('Cash Flow Statement '!J18,0)</f>
        <v>0</v>
      </c>
      <c r="K91" s="26">
        <f>IFERROR('Cash Flow Statement '!K18,0)</f>
        <v>0</v>
      </c>
      <c r="L91" s="26">
        <f>IFERROR('Cash Flow Statement '!L18,0)</f>
        <v>0</v>
      </c>
    </row>
    <row r="92" spans="2:13" outlineLevel="1" x14ac:dyDescent="0.3">
      <c r="B92" t="s">
        <v>100</v>
      </c>
      <c r="C92" s="26">
        <f>IFERROR('Cash Flow Statement '!C19,0)</f>
        <v>0</v>
      </c>
      <c r="D92" s="26">
        <f>IFERROR('Cash Flow Statement '!D19,0)</f>
        <v>0</v>
      </c>
      <c r="E92" s="26">
        <f>IFERROR('Cash Flow Statement '!E19,0)</f>
        <v>0</v>
      </c>
      <c r="F92" s="26">
        <f>IFERROR('Cash Flow Statement '!F19,0)</f>
        <v>2</v>
      </c>
      <c r="G92" s="26">
        <f>IFERROR('Cash Flow Statement '!G19,0)</f>
        <v>34</v>
      </c>
      <c r="H92" s="26">
        <f>IFERROR('Cash Flow Statement '!H19,0)</f>
        <v>0</v>
      </c>
      <c r="I92" s="26">
        <f>IFERROR('Cash Flow Statement '!I19,0)</f>
        <v>0</v>
      </c>
      <c r="J92" s="26">
        <f>IFERROR('Cash Flow Statement '!J19,0)</f>
        <v>4</v>
      </c>
      <c r="K92" s="26">
        <f>IFERROR('Cash Flow Statement '!K19,0)</f>
        <v>1</v>
      </c>
      <c r="L92" s="26">
        <f>IFERROR('Cash Flow Statement '!L19,0)</f>
        <v>0</v>
      </c>
    </row>
    <row r="93" spans="2:13" outlineLevel="1" x14ac:dyDescent="0.3">
      <c r="B93" t="s">
        <v>101</v>
      </c>
      <c r="C93" s="26">
        <f>IFERROR('Cash Flow Statement '!C20,0)</f>
        <v>0</v>
      </c>
      <c r="D93" s="26">
        <f>IFERROR('Cash Flow Statement '!D20,0)</f>
        <v>0</v>
      </c>
      <c r="E93" s="26">
        <f>IFERROR('Cash Flow Statement '!E20,0)</f>
        <v>0</v>
      </c>
      <c r="F93" s="26">
        <f>IFERROR('Cash Flow Statement '!F20,0)</f>
        <v>0</v>
      </c>
      <c r="G93" s="26">
        <f>IFERROR('Cash Flow Statement '!G20,0)</f>
        <v>0</v>
      </c>
      <c r="H93" s="26">
        <f>IFERROR('Cash Flow Statement '!H20,0)</f>
        <v>0</v>
      </c>
      <c r="I93" s="26">
        <f>IFERROR('Cash Flow Statement '!I20,0)</f>
        <v>0</v>
      </c>
      <c r="J93" s="26">
        <f>IFERROR('Cash Flow Statement '!J20,0)</f>
        <v>0</v>
      </c>
      <c r="K93" s="26">
        <f>IFERROR('Cash Flow Statement '!K20,0)</f>
        <v>4</v>
      </c>
      <c r="L93" s="26">
        <f>IFERROR('Cash Flow Statement '!L20,0)</f>
        <v>5</v>
      </c>
    </row>
    <row r="94" spans="2:13" outlineLevel="1" x14ac:dyDescent="0.3">
      <c r="B94" t="s">
        <v>102</v>
      </c>
      <c r="C94" s="26">
        <f>IFERROR('Cash Flow Statement '!C21,0)</f>
        <v>0</v>
      </c>
      <c r="D94" s="26">
        <f>IFERROR('Cash Flow Statement '!D21,0)</f>
        <v>0</v>
      </c>
      <c r="E94" s="26">
        <f>IFERROR('Cash Flow Statement '!E21,0)</f>
        <v>0</v>
      </c>
      <c r="F94" s="26">
        <f>IFERROR('Cash Flow Statement '!F21,0)</f>
        <v>0</v>
      </c>
      <c r="G94" s="26">
        <f>IFERROR('Cash Flow Statement '!G21,0)</f>
        <v>-1</v>
      </c>
      <c r="H94" s="26">
        <f>IFERROR('Cash Flow Statement '!H21,0)</f>
        <v>0</v>
      </c>
      <c r="I94" s="26">
        <f>IFERROR('Cash Flow Statement '!I21,0)</f>
        <v>-1</v>
      </c>
      <c r="J94" s="26">
        <f>IFERROR('Cash Flow Statement '!J21,0)</f>
        <v>0</v>
      </c>
      <c r="K94" s="26">
        <f>IFERROR('Cash Flow Statement '!K21,0)</f>
        <v>0</v>
      </c>
      <c r="L94" s="26">
        <f>IFERROR('Cash Flow Statement '!L21,0)</f>
        <v>0</v>
      </c>
    </row>
    <row r="95" spans="2:13" outlineLevel="1" x14ac:dyDescent="0.3">
      <c r="B95" t="s">
        <v>103</v>
      </c>
      <c r="C95" s="26">
        <f>IFERROR('Cash Flow Statement '!C22,0)</f>
        <v>0</v>
      </c>
      <c r="D95" s="26">
        <f>IFERROR('Cash Flow Statement '!D22,0)</f>
        <v>0</v>
      </c>
      <c r="E95" s="26">
        <f>IFERROR('Cash Flow Statement '!E22,0)</f>
        <v>1</v>
      </c>
      <c r="F95" s="26">
        <f>IFERROR('Cash Flow Statement '!F22,0)</f>
        <v>-10</v>
      </c>
      <c r="G95" s="26">
        <f>IFERROR('Cash Flow Statement '!G22,0)</f>
        <v>10</v>
      </c>
      <c r="H95" s="26">
        <f>IFERROR('Cash Flow Statement '!H22,0)</f>
        <v>0</v>
      </c>
      <c r="I95" s="26">
        <f>IFERROR('Cash Flow Statement '!I22,0)</f>
        <v>-10</v>
      </c>
      <c r="J95" s="26">
        <f>IFERROR('Cash Flow Statement '!J22,0)</f>
        <v>9</v>
      </c>
      <c r="K95" s="26">
        <f>IFERROR('Cash Flow Statement '!K22,0)</f>
        <v>-28</v>
      </c>
      <c r="L95" s="26">
        <f>IFERROR('Cash Flow Statement '!L22,0)</f>
        <v>-24</v>
      </c>
    </row>
    <row r="96" spans="2:13" outlineLevel="1" x14ac:dyDescent="0.3">
      <c r="B96" s="8" t="s">
        <v>114</v>
      </c>
      <c r="C96" s="27">
        <f>IFERROR(SUM(C88:C95),0)</f>
        <v>-38</v>
      </c>
      <c r="D96" s="27">
        <f t="shared" ref="D96:L96" si="27">IFERROR(SUM(D88:D95),0)</f>
        <v>-77</v>
      </c>
      <c r="E96" s="27">
        <f t="shared" si="27"/>
        <v>-8</v>
      </c>
      <c r="F96" s="27">
        <f t="shared" si="27"/>
        <v>-54</v>
      </c>
      <c r="G96" s="27">
        <f t="shared" si="27"/>
        <v>19</v>
      </c>
      <c r="H96" s="27">
        <f t="shared" si="27"/>
        <v>-6</v>
      </c>
      <c r="I96" s="27">
        <f t="shared" si="27"/>
        <v>-30</v>
      </c>
      <c r="J96" s="27">
        <f t="shared" si="27"/>
        <v>-13</v>
      </c>
      <c r="K96" s="27">
        <f t="shared" si="27"/>
        <v>-37</v>
      </c>
      <c r="L96" s="27">
        <f t="shared" si="27"/>
        <v>-126</v>
      </c>
    </row>
    <row r="97" spans="2:12" outlineLevel="1" x14ac:dyDescent="0.3"/>
    <row r="98" spans="2:12" outlineLevel="1" x14ac:dyDescent="0.3">
      <c r="B98" s="8" t="s">
        <v>115</v>
      </c>
    </row>
    <row r="99" spans="2:12" outlineLevel="1" x14ac:dyDescent="0.3">
      <c r="B99" t="s">
        <v>104</v>
      </c>
      <c r="C99" s="26">
        <f>IFERROR('Cash Flow Statement '!C24,0)</f>
        <v>0</v>
      </c>
      <c r="D99" s="26">
        <f>IFERROR('Cash Flow Statement '!D24,0)</f>
        <v>0</v>
      </c>
      <c r="E99" s="26">
        <f>IFERROR('Cash Flow Statement '!E24,0)</f>
        <v>51.09</v>
      </c>
      <c r="F99" s="26">
        <f>IFERROR('Cash Flow Statement '!F24,0)</f>
        <v>0</v>
      </c>
      <c r="G99" s="26">
        <f>IFERROR('Cash Flow Statement '!G24,0)</f>
        <v>0</v>
      </c>
      <c r="H99" s="26">
        <f>IFERROR('Cash Flow Statement '!H24,0)</f>
        <v>0</v>
      </c>
      <c r="I99" s="26">
        <f>IFERROR('Cash Flow Statement '!I24,0)</f>
        <v>0</v>
      </c>
      <c r="J99" s="26">
        <f>IFERROR('Cash Flow Statement '!J24,0)</f>
        <v>0</v>
      </c>
      <c r="K99" s="26">
        <f>IFERROR('Cash Flow Statement '!K24,0)</f>
        <v>0</v>
      </c>
      <c r="L99" s="26">
        <f>IFERROR('Cash Flow Statement '!L24,0)</f>
        <v>0</v>
      </c>
    </row>
    <row r="100" spans="2:12" outlineLevel="1" x14ac:dyDescent="0.3">
      <c r="B100" t="s">
        <v>105</v>
      </c>
      <c r="C100" s="26">
        <f>IFERROR('Cash Flow Statement '!C25,0)</f>
        <v>32.67</v>
      </c>
      <c r="D100" s="26">
        <f>IFERROR('Cash Flow Statement '!D25,0)</f>
        <v>64.64</v>
      </c>
      <c r="E100" s="26">
        <f>IFERROR('Cash Flow Statement '!E25,0)</f>
        <v>0</v>
      </c>
      <c r="F100" s="26">
        <f>IFERROR('Cash Flow Statement '!F25,0)</f>
        <v>46.34</v>
      </c>
      <c r="G100" s="26">
        <f>IFERROR('Cash Flow Statement '!G25,0)</f>
        <v>0</v>
      </c>
      <c r="H100" s="26">
        <f>IFERROR('Cash Flow Statement '!H25,0)</f>
        <v>0</v>
      </c>
      <c r="I100" s="26">
        <f>IFERROR('Cash Flow Statement '!I25,0)</f>
        <v>34.83</v>
      </c>
      <c r="J100" s="26">
        <f>IFERROR('Cash Flow Statement '!J25,0)</f>
        <v>0</v>
      </c>
      <c r="K100" s="26">
        <f>IFERROR('Cash Flow Statement '!K25,0)</f>
        <v>0</v>
      </c>
      <c r="L100" s="26">
        <f>IFERROR('Cash Flow Statement '!L25,0)</f>
        <v>0</v>
      </c>
    </row>
    <row r="101" spans="2:12" outlineLevel="1" x14ac:dyDescent="0.3">
      <c r="B101" t="s">
        <v>106</v>
      </c>
      <c r="C101" s="26">
        <f>IFERROR('Cash Flow Statement '!C26,0)</f>
        <v>0</v>
      </c>
      <c r="D101" s="26">
        <f>IFERROR('Cash Flow Statement '!D26,0)</f>
        <v>-5.0999999999999996</v>
      </c>
      <c r="E101" s="26">
        <f>IFERROR('Cash Flow Statement '!E26,0)</f>
        <v>-56.01</v>
      </c>
      <c r="F101" s="26">
        <f>IFERROR('Cash Flow Statement '!F26,0)</f>
        <v>-16.27</v>
      </c>
      <c r="G101" s="26">
        <f>IFERROR('Cash Flow Statement '!G26,0)</f>
        <v>-71.13</v>
      </c>
      <c r="H101" s="26">
        <f>IFERROR('Cash Flow Statement '!H26,0)</f>
        <v>-60.91</v>
      </c>
      <c r="I101" s="26">
        <f>IFERROR('Cash Flow Statement '!I26,0)</f>
        <v>-14.57</v>
      </c>
      <c r="J101" s="26">
        <f>IFERROR('Cash Flow Statement '!J26,0)</f>
        <v>-32.520000000000003</v>
      </c>
      <c r="K101" s="26">
        <f>IFERROR('Cash Flow Statement '!K26,0)</f>
        <v>-1.45</v>
      </c>
      <c r="L101" s="26">
        <f>IFERROR('Cash Flow Statement '!L26,0)</f>
        <v>0</v>
      </c>
    </row>
    <row r="102" spans="2:12" outlineLevel="1" x14ac:dyDescent="0.3">
      <c r="B102" t="s">
        <v>107</v>
      </c>
      <c r="C102" s="26">
        <f>IFERROR('Cash Flow Statement '!C27,0)</f>
        <v>0</v>
      </c>
      <c r="D102" s="26">
        <f>IFERROR('Cash Flow Statement '!D27,0)</f>
        <v>-8.57</v>
      </c>
      <c r="E102" s="26">
        <f>IFERROR('Cash Flow Statement '!E27,0)</f>
        <v>-6.26</v>
      </c>
      <c r="F102" s="26">
        <f>IFERROR('Cash Flow Statement '!F27,0)</f>
        <v>-7.61</v>
      </c>
      <c r="G102" s="26">
        <f>IFERROR('Cash Flow Statement '!G27,0)</f>
        <v>-9.3000000000000007</v>
      </c>
      <c r="H102" s="26">
        <f>IFERROR('Cash Flow Statement '!H27,0)</f>
        <v>-3.5</v>
      </c>
      <c r="I102" s="26">
        <f>IFERROR('Cash Flow Statement '!I27,0)</f>
        <v>-3.12</v>
      </c>
      <c r="J102" s="26">
        <f>IFERROR('Cash Flow Statement '!J27,0)</f>
        <v>-3.31</v>
      </c>
      <c r="K102" s="26">
        <f>IFERROR('Cash Flow Statement '!K27,0)</f>
        <v>-2.5</v>
      </c>
      <c r="L102" s="26">
        <f>IFERROR('Cash Flow Statement '!L27,0)</f>
        <v>-3.92</v>
      </c>
    </row>
    <row r="103" spans="2:12" outlineLevel="1" x14ac:dyDescent="0.3">
      <c r="B103" t="s">
        <v>108</v>
      </c>
      <c r="C103" s="26">
        <f>IFERROR('Cash Flow Statement '!C28,0)</f>
        <v>-6.46</v>
      </c>
      <c r="D103" s="26">
        <f>IFERROR('Cash Flow Statement '!D28,0)</f>
        <v>0</v>
      </c>
      <c r="E103" s="26">
        <f>IFERROR('Cash Flow Statement '!E28,0)</f>
        <v>0</v>
      </c>
      <c r="F103" s="26">
        <f>IFERROR('Cash Flow Statement '!F28,0)</f>
        <v>0</v>
      </c>
      <c r="G103" s="26">
        <f>IFERROR('Cash Flow Statement '!G28,0)</f>
        <v>0</v>
      </c>
      <c r="H103" s="26">
        <f>IFERROR('Cash Flow Statement '!H28,0)</f>
        <v>0</v>
      </c>
      <c r="I103" s="26">
        <f>IFERROR('Cash Flow Statement '!I28,0)</f>
        <v>0</v>
      </c>
      <c r="J103" s="26">
        <f>IFERROR('Cash Flow Statement '!J28,0)</f>
        <v>0</v>
      </c>
      <c r="K103" s="26">
        <f>IFERROR('Cash Flow Statement '!K28,0)</f>
        <v>0</v>
      </c>
      <c r="L103" s="26">
        <f>IFERROR('Cash Flow Statement '!L28,0)</f>
        <v>0</v>
      </c>
    </row>
    <row r="104" spans="2:12" outlineLevel="1" x14ac:dyDescent="0.3">
      <c r="B104" s="8" t="s">
        <v>116</v>
      </c>
      <c r="C104" s="27">
        <f>IFERROR(SUM(C99:C103),0)</f>
        <v>26.21</v>
      </c>
      <c r="D104" s="27">
        <f t="shared" ref="D104:L104" si="28">IFERROR(SUM(D99:D103),0)</f>
        <v>50.97</v>
      </c>
      <c r="E104" s="27">
        <f t="shared" si="28"/>
        <v>-11.179999999999994</v>
      </c>
      <c r="F104" s="27">
        <f t="shared" si="28"/>
        <v>22.460000000000004</v>
      </c>
      <c r="G104" s="27">
        <f t="shared" si="28"/>
        <v>-80.429999999999993</v>
      </c>
      <c r="H104" s="27">
        <f t="shared" si="28"/>
        <v>-64.41</v>
      </c>
      <c r="I104" s="27">
        <f t="shared" si="28"/>
        <v>17.139999999999997</v>
      </c>
      <c r="J104" s="27">
        <f t="shared" si="28"/>
        <v>-35.830000000000005</v>
      </c>
      <c r="K104" s="27">
        <f t="shared" si="28"/>
        <v>-3.95</v>
      </c>
      <c r="L104" s="27">
        <f t="shared" si="28"/>
        <v>-3.92</v>
      </c>
    </row>
    <row r="105" spans="2:12" outlineLevel="1" x14ac:dyDescent="0.3"/>
    <row r="106" spans="2:12" outlineLevel="1" x14ac:dyDescent="0.3">
      <c r="B106" s="8" t="s">
        <v>50</v>
      </c>
      <c r="C106" s="27">
        <f>IFERROR(C85+C96+C104,0)</f>
        <v>-13.79</v>
      </c>
      <c r="D106" s="27">
        <f t="shared" ref="D106:L106" si="29">IFERROR(D85+D96+D104,0)</f>
        <v>-13.030000000000001</v>
      </c>
      <c r="E106" s="27">
        <f t="shared" si="29"/>
        <v>-15.179999999999994</v>
      </c>
      <c r="F106" s="27">
        <f t="shared" si="29"/>
        <v>-43.539999999999992</v>
      </c>
      <c r="G106" s="27">
        <f t="shared" si="29"/>
        <v>11.570000000000007</v>
      </c>
      <c r="H106" s="27">
        <f t="shared" si="29"/>
        <v>6.5900000000000034</v>
      </c>
      <c r="I106" s="27">
        <f t="shared" si="29"/>
        <v>-77.86</v>
      </c>
      <c r="J106" s="27">
        <f t="shared" si="29"/>
        <v>-41.830000000000005</v>
      </c>
      <c r="K106" s="27">
        <f t="shared" si="29"/>
        <v>36.049999999999997</v>
      </c>
      <c r="L106" s="27">
        <f t="shared" si="29"/>
        <v>-57.92</v>
      </c>
    </row>
  </sheetData>
  <mergeCells count="1">
    <mergeCell ref="B2:M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67D8D-80A6-4620-86C6-7E4817BCC1EB}">
  <dimension ref="B2:O41"/>
  <sheetViews>
    <sheetView showGridLines="0" tabSelected="1" topLeftCell="A16" zoomScale="99" zoomScaleNormal="99" workbookViewId="0">
      <selection activeCell="S26" sqref="S26"/>
    </sheetView>
  </sheetViews>
  <sheetFormatPr defaultRowHeight="14.4" x14ac:dyDescent="0.3"/>
  <cols>
    <col min="1" max="1" width="1.88671875" customWidth="1"/>
    <col min="2" max="2" width="15.6640625" bestFit="1" customWidth="1"/>
    <col min="4" max="12" width="9.5546875" bestFit="1" customWidth="1"/>
    <col min="13" max="13" width="15.6640625" customWidth="1"/>
  </cols>
  <sheetData>
    <row r="2" spans="2:15" ht="13.2" customHeight="1" x14ac:dyDescent="0.3">
      <c r="B2" s="167" t="str">
        <f>"RATIO ANALYSIS -"&amp;DataSheet!B1</f>
        <v>RATIO ANALYSIS -STYLAM INDUSTRIES LTD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</row>
    <row r="3" spans="2:15" ht="16.2" customHeight="1" x14ac:dyDescent="0.3">
      <c r="B3" s="9" t="s">
        <v>54</v>
      </c>
      <c r="C3" s="10">
        <f>DataSheet!B16</f>
        <v>42460</v>
      </c>
      <c r="D3" s="10">
        <f>DataSheet!C16</f>
        <v>42825</v>
      </c>
      <c r="E3" s="10">
        <f>DataSheet!D16</f>
        <v>43190</v>
      </c>
      <c r="F3" s="10">
        <f>DataSheet!E16</f>
        <v>43555</v>
      </c>
      <c r="G3" s="10">
        <f>DataSheet!F16</f>
        <v>43921</v>
      </c>
      <c r="H3" s="10">
        <f>DataSheet!G16</f>
        <v>44286</v>
      </c>
      <c r="I3" s="10">
        <f>DataSheet!H16</f>
        <v>44651</v>
      </c>
      <c r="J3" s="10">
        <f>DataSheet!I16</f>
        <v>45016</v>
      </c>
      <c r="K3" s="10">
        <f>DataSheet!J16</f>
        <v>45382</v>
      </c>
      <c r="L3" s="10">
        <f>DataSheet!K16</f>
        <v>45747</v>
      </c>
      <c r="M3" s="40" t="s">
        <v>151</v>
      </c>
      <c r="N3" s="10" t="s">
        <v>149</v>
      </c>
      <c r="O3" s="10" t="s">
        <v>150</v>
      </c>
    </row>
    <row r="5" spans="2:15" x14ac:dyDescent="0.3">
      <c r="B5" s="30" t="s">
        <v>56</v>
      </c>
      <c r="C5" s="30"/>
      <c r="D5" s="30">
        <f>IFERROR(Historical_FS!D7,0)</f>
        <v>0.11386513282373434</v>
      </c>
      <c r="E5" s="30">
        <f>IFERROR(Historical_FS!E7,0)</f>
        <v>0.1519619500594529</v>
      </c>
      <c r="F5" s="30">
        <f>IFERROR(Historical_FS!F7,0)</f>
        <v>0.35844048602099798</v>
      </c>
      <c r="G5" s="30">
        <f>IFERROR(Historical_FS!G7,0)</f>
        <v>3.3216100039077379E-3</v>
      </c>
      <c r="H5" s="30">
        <f>IFERROR(Historical_FS!H7,0)</f>
        <v>3.7606837606837695E-2</v>
      </c>
      <c r="I5" s="30">
        <f>IFERROR(Historical_FS!I7,0)</f>
        <v>0.3749921798427629</v>
      </c>
      <c r="J5" s="30">
        <f>IFERROR(Historical_FS!J7,0)</f>
        <v>0.44404337605217248</v>
      </c>
      <c r="K5" s="30">
        <f>IFERROR(Historical_FS!K7,0)</f>
        <v>-3.9963030258473031E-2</v>
      </c>
      <c r="L5" s="30">
        <f>IFERROR(Historical_FS!L7,0)</f>
        <v>0.12144451251531585</v>
      </c>
      <c r="M5" s="30"/>
      <c r="N5" s="31">
        <f>IFERROR(AVERAGE(D5:L5),0)</f>
        <v>0.17396811718518987</v>
      </c>
      <c r="O5" s="31">
        <f>IFERROR(MEDIAN(D5:L5),0)</f>
        <v>0.12144451251531585</v>
      </c>
    </row>
    <row r="6" spans="2:15" x14ac:dyDescent="0.3">
      <c r="B6" t="s">
        <v>119</v>
      </c>
      <c r="D6" s="29">
        <f>IFERROR(Historical_FS!D18/Historical_FS!C18-1,0)</f>
        <v>0.518052335210335</v>
      </c>
      <c r="E6" s="29">
        <f>IFERROR(Historical_FS!E18/Historical_FS!D18-1,0)</f>
        <v>8.0733144228670506E-2</v>
      </c>
      <c r="F6" s="29">
        <f>IFERROR(Historical_FS!F18/Historical_FS!E18-1,0)</f>
        <v>0.61861498081970479</v>
      </c>
      <c r="G6" s="29">
        <f>IFERROR(Historical_FS!G18/Historical_FS!F18-1,0)</f>
        <v>-5.6130722215287365E-3</v>
      </c>
      <c r="H6" s="29">
        <f>IFERROR(Historical_FS!H18/Historical_FS!G18-1,0)</f>
        <v>0.24322629202207646</v>
      </c>
      <c r="I6" s="29">
        <f>IFERROR(Historical_FS!I18/Historical_FS!H18-1,0)</f>
        <v>4.5706790434870914E-2</v>
      </c>
      <c r="J6" s="29">
        <f>IFERROR(Historical_FS!J18/Historical_FS!I18-1,0)</f>
        <v>0.49372829023543074</v>
      </c>
      <c r="K6" s="29">
        <f>IFERROR(Historical_FS!K18/Historical_FS!J18-1,0)</f>
        <v>0.18965183127705032</v>
      </c>
      <c r="L6" s="29">
        <f>IFERROR(Historical_FS!L18/Historical_FS!K18-1,0)</f>
        <v>6.9501004506691277E-3</v>
      </c>
      <c r="N6" s="29">
        <f t="shared" ref="N6:N41" si="0">IFERROR(AVERAGE(D6:L6),0)</f>
        <v>0.24345007693969764</v>
      </c>
      <c r="O6" s="29">
        <f t="shared" ref="O6:O41" si="1">IFERROR(MEDIAN(D6:L6),0)</f>
        <v>0.18965183127705032</v>
      </c>
    </row>
    <row r="7" spans="2:15" x14ac:dyDescent="0.3">
      <c r="B7" t="s">
        <v>120</v>
      </c>
      <c r="D7" s="29">
        <f>IFERROR(Historical_FS!D24/Historical_FS!C24-1,0)</f>
        <v>0.57126076742364962</v>
      </c>
      <c r="E7" s="29">
        <f>IFERROR(Historical_FS!E24/Historical_FS!D24-1,0)</f>
        <v>-3.5634188886120577E-2</v>
      </c>
      <c r="F7" s="29">
        <f>IFERROR(Historical_FS!F24/Historical_FS!E24-1,0)</f>
        <v>0.60103359173126547</v>
      </c>
      <c r="G7" s="29">
        <f>IFERROR(Historical_FS!G24/Historical_FS!F24-1,0)</f>
        <v>-5.1969012265977499E-2</v>
      </c>
      <c r="H7" s="29">
        <f>IFERROR(Historical_FS!H24/Historical_FS!G24-1,0)</f>
        <v>0.29315628192032617</v>
      </c>
      <c r="I7" s="29">
        <f>IFERROR(Historical_FS!I24/Historical_FS!H24-1,0)</f>
        <v>5.8188520273828814E-2</v>
      </c>
      <c r="J7" s="29">
        <f>IFERROR(Historical_FS!J24/Historical_FS!I24-1,0)</f>
        <v>0.67728290619557163</v>
      </c>
      <c r="K7" s="29">
        <f>IFERROR(Historical_FS!K24/Historical_FS!J24-1,0)</f>
        <v>0.20093457943925364</v>
      </c>
      <c r="L7" s="29">
        <f>IFERROR(Historical_FS!L24/Historical_FS!K24-1,0)</f>
        <v>-2.0381693533463308E-3</v>
      </c>
      <c r="N7" s="29">
        <f t="shared" si="0"/>
        <v>0.25691280849760573</v>
      </c>
      <c r="O7" s="29">
        <f t="shared" si="1"/>
        <v>0.20093457943925364</v>
      </c>
    </row>
    <row r="8" spans="2:15" x14ac:dyDescent="0.3">
      <c r="B8" t="s">
        <v>121</v>
      </c>
      <c r="D8" s="29">
        <f>IFERROR(Historical_FS!D33/Historical_FS!C33-1,0)</f>
        <v>0.58384146341463494</v>
      </c>
      <c r="E8" s="29">
        <f>IFERROR(Historical_FS!E33/Historical_FS!D33-1,0)</f>
        <v>6.0635226179017288E-2</v>
      </c>
      <c r="F8" s="29">
        <f>IFERROR(Historical_FS!F33/Historical_FS!E33-1,0)</f>
        <v>0.56957047791893456</v>
      </c>
      <c r="G8" s="29">
        <f>IFERROR(Historical_FS!G33/Historical_FS!F33-1,0)</f>
        <v>-0.35421083060319858</v>
      </c>
      <c r="H8" s="29">
        <f>IFERROR(Historical_FS!H33/Historical_FS!G33-1,0)</f>
        <v>1.1178752611160832</v>
      </c>
      <c r="I8" s="29">
        <f>IFERROR(Historical_FS!I33/Historical_FS!H33-1,0)</f>
        <v>0.13385937720163521</v>
      </c>
      <c r="J8" s="29">
        <f>IFERROR(Historical_FS!J33/Historical_FS!I33-1,0)</f>
        <v>0.59102771219087935</v>
      </c>
      <c r="K8" s="29">
        <f>IFERROR(Historical_FS!K33/Historical_FS!J33-1,0)</f>
        <v>0.28305865812700293</v>
      </c>
      <c r="L8" s="29">
        <f>IFERROR(Historical_FS!L33/Historical_FS!K33-1,0)</f>
        <v>3.4698971205922025E-3</v>
      </c>
      <c r="N8" s="29">
        <f t="shared" si="0"/>
        <v>0.33212524918506453</v>
      </c>
      <c r="O8" s="29">
        <f t="shared" si="1"/>
        <v>0.28305865812700293</v>
      </c>
    </row>
    <row r="9" spans="2:15" x14ac:dyDescent="0.3">
      <c r="B9" t="s">
        <v>122</v>
      </c>
      <c r="D9" s="29">
        <f>IFERROR(Historical_FS!D39/Historical_FS!C39-1,0)</f>
        <v>0.61646090534979558</v>
      </c>
      <c r="E9" s="29">
        <f>IFERROR(Historical_FS!E39/Historical_FS!D39-1,0)</f>
        <v>2.0875763747452813E-2</v>
      </c>
      <c r="F9" s="29">
        <f>IFERROR(Historical_FS!F39/Historical_FS!E39-1,0)</f>
        <v>0.93615960099750506</v>
      </c>
      <c r="G9" s="29">
        <f>IFERROR(Historical_FS!G39/Historical_FS!F39-1,0)</f>
        <v>-0.51287995878413151</v>
      </c>
      <c r="H9" s="29">
        <f>IFERROR(Historical_FS!H39/Historical_FS!G39-1,0)</f>
        <v>1.9243786356425145</v>
      </c>
      <c r="I9" s="29">
        <f>IFERROR(Historical_FS!I39/Historical_FS!H39-1,0)</f>
        <v>0.103254972875227</v>
      </c>
      <c r="J9" s="29">
        <f>IFERROR(Historical_FS!J39/Historical_FS!I39-1,0)</f>
        <v>0.57269300114735389</v>
      </c>
      <c r="K9" s="29">
        <f>IFERROR(Historical_FS!K39/Historical_FS!J39-1,0)</f>
        <v>0.33819697759249778</v>
      </c>
      <c r="L9" s="29">
        <f>IFERROR(Historical_FS!L39/Historical_FS!K39-1,0)</f>
        <v>-5.1168224299067755E-2</v>
      </c>
      <c r="N9" s="29">
        <f t="shared" si="0"/>
        <v>0.43866351936323866</v>
      </c>
      <c r="O9" s="29">
        <f t="shared" si="1"/>
        <v>0.33819697759249778</v>
      </c>
    </row>
    <row r="10" spans="2:15" x14ac:dyDescent="0.3">
      <c r="B10" s="32" t="s">
        <v>123</v>
      </c>
      <c r="C10" s="32"/>
      <c r="D10" s="33">
        <f>IFERROR(Historical_FS!D47/Historical_FS!C47-1,0)</f>
        <v>0</v>
      </c>
      <c r="E10" s="33">
        <f>IFERROR(Historical_FS!E47/Historical_FS!D47-1,0)</f>
        <v>0</v>
      </c>
      <c r="F10" s="33">
        <f>IFERROR(Historical_FS!F47/Historical_FS!E47-1,0)</f>
        <v>0</v>
      </c>
      <c r="G10" s="33">
        <f>IFERROR(Historical_FS!G47/Historical_FS!F47-1,0)</f>
        <v>0</v>
      </c>
      <c r="H10" s="33">
        <f>IFERROR(Historical_FS!H47/Historical_FS!G47-1,0)</f>
        <v>0</v>
      </c>
      <c r="I10" s="33">
        <f>IFERROR(Historical_FS!I47/Historical_FS!H47-1,0)</f>
        <v>0</v>
      </c>
      <c r="J10" s="33">
        <f>IFERROR(Historical_FS!J47/Historical_FS!I47-1,0)</f>
        <v>-1</v>
      </c>
      <c r="K10" s="33">
        <f>IFERROR(Historical_FS!K47/Historical_FS!J47-1,0)</f>
        <v>0</v>
      </c>
      <c r="L10" s="33">
        <f>IFERROR(Historical_FS!L47/Historical_FS!K47-1,0)</f>
        <v>-1</v>
      </c>
      <c r="M10" s="32"/>
      <c r="N10" s="33">
        <f t="shared" si="0"/>
        <v>-0.22222222222222221</v>
      </c>
      <c r="O10" s="33">
        <f t="shared" si="1"/>
        <v>0</v>
      </c>
    </row>
    <row r="11" spans="2:15" x14ac:dyDescent="0.3">
      <c r="D11" s="28"/>
      <c r="E11" s="28"/>
      <c r="F11" s="28"/>
      <c r="G11" s="28"/>
      <c r="H11" s="28"/>
      <c r="I11" s="28"/>
      <c r="J11" s="28"/>
      <c r="K11" s="28"/>
      <c r="L11" s="28"/>
    </row>
    <row r="12" spans="2:15" x14ac:dyDescent="0.3">
      <c r="B12" s="30" t="s">
        <v>124</v>
      </c>
      <c r="C12" s="30"/>
      <c r="D12" s="31">
        <f>IFERROR(Historical_FS!D10,0)</f>
        <v>0.70990317649057244</v>
      </c>
      <c r="E12" s="31">
        <f>IFERROR(Historical_FS!E10,0)</f>
        <v>0.75480712516220361</v>
      </c>
      <c r="F12" s="31">
        <f>IFERROR(Historical_FS!F10,0)</f>
        <v>0.74384525205158281</v>
      </c>
      <c r="G12" s="31">
        <f>IFERROR(Historical_FS!G10,0)</f>
        <v>0.74371957156767288</v>
      </c>
      <c r="H12" s="31">
        <f>IFERROR(Historical_FS!H10,0)</f>
        <v>0.70191645986695317</v>
      </c>
      <c r="I12" s="31">
        <f>IFERROR(Historical_FS!I10,0)</f>
        <v>0.75020853871236826</v>
      </c>
      <c r="J12" s="31">
        <f>IFERROR(Historical_FS!J10,0)</f>
        <v>0.72617184628149511</v>
      </c>
      <c r="K12" s="31">
        <f>IFERROR(Historical_FS!K10,0)</f>
        <v>0.69689742692105705</v>
      </c>
      <c r="L12" s="31">
        <f>IFERROR(Historical_FS!L10,0)</f>
        <v>0.71735164717244349</v>
      </c>
      <c r="M12" s="30"/>
      <c r="N12" s="31">
        <f t="shared" si="0"/>
        <v>0.72720233824737202</v>
      </c>
      <c r="O12" s="31">
        <f t="shared" si="1"/>
        <v>0.72617184628149511</v>
      </c>
    </row>
    <row r="13" spans="2:15" x14ac:dyDescent="0.3">
      <c r="B13" t="s">
        <v>64</v>
      </c>
      <c r="D13" s="29">
        <f>IFERROR(Historical_FS!D19,0)</f>
        <v>0.15569899779174456</v>
      </c>
      <c r="E13" s="29">
        <f>IFERROR(Historical_FS!E19,0)</f>
        <v>0.14607172348708267</v>
      </c>
      <c r="F13" s="29">
        <f>IFERROR(Historical_FS!F19,0)</f>
        <v>0.17404802223090607</v>
      </c>
      <c r="G13" s="29">
        <f>IFERROR(Historical_FS!G19,0)</f>
        <v>0.17249810667532187</v>
      </c>
      <c r="H13" s="29">
        <f>IFERROR(Historical_FS!H19,0)</f>
        <v>0.20668154234354461</v>
      </c>
      <c r="I13" s="29">
        <f>IFERROR(Historical_FS!I19,0)</f>
        <v>0.15718510654432394</v>
      </c>
      <c r="J13" s="29">
        <f>IFERROR(Historical_FS!J19,0)</f>
        <v>0.1625933433459717</v>
      </c>
      <c r="K13" s="29">
        <f>IFERROR(Historical_FS!K19,0)</f>
        <v>0.20148127078592704</v>
      </c>
      <c r="L13" s="29">
        <f>IFERROR(Historical_FS!L19,0)</f>
        <v>0.18091094440488145</v>
      </c>
      <c r="N13" s="29">
        <f t="shared" si="0"/>
        <v>0.17301878417885599</v>
      </c>
      <c r="O13" s="29">
        <f t="shared" si="1"/>
        <v>0.17249810667532187</v>
      </c>
    </row>
    <row r="14" spans="2:15" x14ac:dyDescent="0.3">
      <c r="B14" t="s">
        <v>125</v>
      </c>
      <c r="D14" s="29">
        <f>IFERROR(Historical_FS!D25,0)</f>
        <v>0.13633429590623411</v>
      </c>
      <c r="E14" s="29">
        <f>IFERROR(Historical_FS!E25,0)</f>
        <v>0.11413235814557034</v>
      </c>
      <c r="F14" s="29">
        <f>IFERROR(Historical_FS!F25,0)</f>
        <v>0.13451435022361155</v>
      </c>
      <c r="G14" s="29">
        <f>IFERROR(Historical_FS!G25,0)</f>
        <v>0.12710159039272964</v>
      </c>
      <c r="H14" s="29">
        <f>IFERROR(Historical_FS!H25,0)</f>
        <v>0.15840510499864441</v>
      </c>
      <c r="I14" s="29">
        <f>IFERROR(Historical_FS!I25,0)</f>
        <v>0.12190793963752176</v>
      </c>
      <c r="J14" s="29">
        <f>IFERROR(Historical_FS!J25,0)</f>
        <v>0.14159831115498936</v>
      </c>
      <c r="K14" s="29">
        <f>IFERROR(Historical_FS!K25,0)</f>
        <v>0.1771289165062141</v>
      </c>
      <c r="L14" s="29">
        <f>IFERROR(Historical_FS!L25,0)</f>
        <v>0.15762518413017385</v>
      </c>
      <c r="N14" s="29">
        <f t="shared" si="0"/>
        <v>0.14097200567729881</v>
      </c>
      <c r="O14" s="29">
        <f t="shared" si="1"/>
        <v>0.13633429590623411</v>
      </c>
    </row>
    <row r="15" spans="2:15" x14ac:dyDescent="0.3">
      <c r="B15" t="s">
        <v>126</v>
      </c>
      <c r="D15" s="29">
        <f>IFERROR(Historical_FS!D34,0)</f>
        <v>0.10589434346865981</v>
      </c>
      <c r="E15" s="29">
        <f>IFERROR(Historical_FS!E34,0)</f>
        <v>9.7499115253037602E-2</v>
      </c>
      <c r="F15" s="29">
        <f>IFERROR(Historical_FS!F34,0)</f>
        <v>0.11265251183187867</v>
      </c>
      <c r="G15" s="29">
        <f>IFERROR(Historical_FS!G34,0)</f>
        <v>7.2508925673482633E-2</v>
      </c>
      <c r="H15" s="29">
        <f>IFERROR(Historical_FS!H34,0)</f>
        <v>0.14799908243488405</v>
      </c>
      <c r="I15" s="29">
        <f>IFERROR(Historical_FS!I34,0)</f>
        <v>0.12204443770379916</v>
      </c>
      <c r="J15" s="29">
        <f>IFERROR(Historical_FS!J34,0)</f>
        <v>0.13446693203659169</v>
      </c>
      <c r="K15" s="29">
        <f>IFERROR(Historical_FS!K34,0)</f>
        <v>0.17971074741816931</v>
      </c>
      <c r="L15" s="29">
        <f>IFERROR(Historical_FS!L34,0)</f>
        <v>0.16080539269722649</v>
      </c>
      <c r="N15" s="29">
        <f t="shared" si="0"/>
        <v>0.12595349872419215</v>
      </c>
      <c r="O15" s="29">
        <f t="shared" si="1"/>
        <v>0.12204443770379916</v>
      </c>
    </row>
    <row r="16" spans="2:15" x14ac:dyDescent="0.3">
      <c r="B16" s="32" t="s">
        <v>73</v>
      </c>
      <c r="C16" s="32"/>
      <c r="D16" s="33">
        <f>IFERROR(Historical_FS!D40,0)</f>
        <v>6.6723288602004466E-2</v>
      </c>
      <c r="E16" s="33">
        <f>IFERROR(Historical_FS!E40,0)</f>
        <v>5.9130588651645603E-2</v>
      </c>
      <c r="F16" s="33">
        <f>IFERROR(Historical_FS!F40,0)</f>
        <v>8.4277712648169759E-2</v>
      </c>
      <c r="G16" s="33">
        <f>IFERROR(Historical_FS!G40,0)</f>
        <v>4.0917451044033319E-2</v>
      </c>
      <c r="H16" s="33">
        <f>IFERROR(Historical_FS!H40,0)</f>
        <v>0.11532125205930796</v>
      </c>
      <c r="I16" s="33">
        <f>IFERROR(Historical_FS!I40,0)</f>
        <v>9.2530522484264785E-2</v>
      </c>
      <c r="J16" s="33">
        <f>IFERROR(Historical_FS!J40,0)</f>
        <v>0.10077405396321934</v>
      </c>
      <c r="K16" s="33">
        <f>IFERROR(Historical_FS!K40,0)</f>
        <v>0.1404691055487487</v>
      </c>
      <c r="L16" s="33">
        <f>IFERROR(Historical_FS!L40,0)</f>
        <v>0.11884810114233864</v>
      </c>
      <c r="M16" s="32"/>
      <c r="N16" s="33">
        <f t="shared" si="0"/>
        <v>9.0999119571525844E-2</v>
      </c>
      <c r="O16" s="33">
        <f t="shared" si="1"/>
        <v>9.2530522484264785E-2</v>
      </c>
    </row>
    <row r="17" spans="2:15" x14ac:dyDescent="0.3">
      <c r="D17" s="28"/>
      <c r="E17" s="28"/>
      <c r="F17" s="28"/>
      <c r="G17" s="28"/>
      <c r="H17" s="28"/>
      <c r="I17" s="28"/>
      <c r="J17" s="28"/>
      <c r="K17" s="28"/>
      <c r="L17" s="28"/>
    </row>
    <row r="18" spans="2:15" x14ac:dyDescent="0.3">
      <c r="B18" s="30" t="s">
        <v>127</v>
      </c>
      <c r="C18" s="30"/>
      <c r="D18" s="31">
        <f>IFERROR(Historical_FS!D16,0)</f>
        <v>0.13439782571768302</v>
      </c>
      <c r="E18" s="31">
        <f>IFERROR(Historical_FS!E16,0)</f>
        <v>9.9121151350713699E-2</v>
      </c>
      <c r="F18" s="31">
        <f>IFERROR(Historical_FS!F16,0)</f>
        <v>8.2106725717511181E-2</v>
      </c>
      <c r="G18" s="31">
        <f>IFERROR(Historical_FS!G16,0)</f>
        <v>8.3782321757005299E-2</v>
      </c>
      <c r="H18" s="31">
        <f>IFERROR(Historical_FS!H16,0)</f>
        <v>9.1401997789502226E-2</v>
      </c>
      <c r="I18" s="31">
        <f>IFERROR(Historical_FS!I16,0)</f>
        <v>9.2606354743307806E-2</v>
      </c>
      <c r="J18" s="31">
        <f>IFERROR(Historical_FS!J16,0)</f>
        <v>0.11123481037253316</v>
      </c>
      <c r="K18" s="31">
        <f>IFERROR(Historical_FS!K16,0)</f>
        <v>0.10162130229301593</v>
      </c>
      <c r="L18" s="31">
        <f>IFERROR(Historical_FS!L16,0)</f>
        <v>0.10173740842267508</v>
      </c>
      <c r="M18" s="30"/>
      <c r="N18" s="31">
        <f t="shared" si="0"/>
        <v>9.9778877573771935E-2</v>
      </c>
      <c r="O18" s="31">
        <f t="shared" si="1"/>
        <v>9.9121151350713699E-2</v>
      </c>
    </row>
    <row r="19" spans="2:15" x14ac:dyDescent="0.3">
      <c r="B19" t="s">
        <v>128</v>
      </c>
      <c r="D19" s="29">
        <f>IFERROR(Historical_FS!D22,0)</f>
        <v>1.9364701885510444E-2</v>
      </c>
      <c r="E19" s="29">
        <f>IFERROR(Historical_FS!E22,0)</f>
        <v>3.193936534151233E-2</v>
      </c>
      <c r="F19" s="29">
        <f>IFERROR(Historical_FS!F22,0)</f>
        <v>3.9533672007294518E-2</v>
      </c>
      <c r="G19" s="29">
        <f>IFERROR(Historical_FS!G22,0)</f>
        <v>4.5396516282592232E-2</v>
      </c>
      <c r="H19" s="29">
        <f>IFERROR(Historical_FS!H22,0)</f>
        <v>4.8276437344900218E-2</v>
      </c>
      <c r="I19" s="29">
        <f>IFERROR(Historical_FS!I22,0)</f>
        <v>3.5277166906802153E-2</v>
      </c>
      <c r="J19" s="29">
        <f>IFERROR(Historical_FS!J22,0)</f>
        <v>2.0995032190982324E-2</v>
      </c>
      <c r="K19" s="29">
        <f>IFERROR(Historical_FS!K22,0)</f>
        <v>2.4352354279712937E-2</v>
      </c>
      <c r="L19" s="29">
        <f>IFERROR(Historical_FS!L22,0)</f>
        <v>2.3285760274707589E-2</v>
      </c>
      <c r="N19" s="29">
        <f t="shared" si="0"/>
        <v>3.2046778501557197E-2</v>
      </c>
      <c r="O19" s="29">
        <f t="shared" si="1"/>
        <v>3.193936534151233E-2</v>
      </c>
    </row>
    <row r="20" spans="2:15" x14ac:dyDescent="0.3">
      <c r="B20" s="32" t="s">
        <v>129</v>
      </c>
      <c r="C20" s="32"/>
      <c r="D20" s="33">
        <f>IFERROR(Historical_FS!D40,0)</f>
        <v>6.6723288602004466E-2</v>
      </c>
      <c r="E20" s="33">
        <f>IFERROR(Historical_FS!E40,0)</f>
        <v>5.9130588651645603E-2</v>
      </c>
      <c r="F20" s="33">
        <f>IFERROR(Historical_FS!F40,0)</f>
        <v>8.4277712648169759E-2</v>
      </c>
      <c r="G20" s="33">
        <f>IFERROR(Historical_FS!G40,0)</f>
        <v>4.0917451044033319E-2</v>
      </c>
      <c r="H20" s="33">
        <f>IFERROR(Historical_FS!H40,0)</f>
        <v>0.11532125205930796</v>
      </c>
      <c r="I20" s="33">
        <f>IFERROR(Historical_FS!I40,0)</f>
        <v>9.2530522484264785E-2</v>
      </c>
      <c r="J20" s="33">
        <f>IFERROR(Historical_FS!J40,0)</f>
        <v>0.10077405396321934</v>
      </c>
      <c r="K20" s="33">
        <f>IFERROR(Historical_FS!K40,0)</f>
        <v>0.1404691055487487</v>
      </c>
      <c r="L20" s="33">
        <f>IFERROR(Historical_FS!L40,0)</f>
        <v>0.11884810114233864</v>
      </c>
      <c r="M20" s="32"/>
      <c r="N20" s="33">
        <f t="shared" si="0"/>
        <v>9.0999119571525844E-2</v>
      </c>
      <c r="O20" s="33">
        <f t="shared" si="1"/>
        <v>9.2530522484264785E-2</v>
      </c>
    </row>
    <row r="22" spans="2:15" x14ac:dyDescent="0.3">
      <c r="B22" s="30" t="s">
        <v>130</v>
      </c>
      <c r="C22" s="30"/>
      <c r="D22" s="31">
        <f>IFERROR(Historical_FS!D24/SUM(Historical_FS!D53:D55),0)</f>
        <v>0.15403216520170426</v>
      </c>
      <c r="E22" s="31">
        <f>IFERROR(Historical_FS!E24/SUM(Historical_FS!E53:E55),0)</f>
        <v>0.14204962560563789</v>
      </c>
      <c r="F22" s="31">
        <f>IFERROR(Historical_FS!F24/SUM(Historical_FS!F53:F55),0)</f>
        <v>0.1654163440745387</v>
      </c>
      <c r="G22" s="31">
        <f>IFERROR(Historical_FS!G24/SUM(Historical_FS!G53:G55),0)</f>
        <v>0.18200408997955009</v>
      </c>
      <c r="H22" s="31">
        <f>IFERROR(Historical_FS!H24/SUM(Historical_FS!H53:H55),0)</f>
        <v>0.23824608725653154</v>
      </c>
      <c r="I22" s="31">
        <f>IFERROR(Historical_FS!I24/SUM(Historical_FS!I53:I55),0)</f>
        <v>0.20305158389329553</v>
      </c>
      <c r="J22" s="31">
        <f>IFERROR(Historical_FS!J24/SUM(Historical_FS!J53:J55),0)</f>
        <v>0.29352085691892366</v>
      </c>
      <c r="K22" s="31">
        <f>IFERROR(Historical_FS!K24/SUM(Historical_FS!K53:K55),0)</f>
        <v>0.30175562844789061</v>
      </c>
      <c r="L22" s="31">
        <f>IFERROR(Historical_FS!L24/SUM(Historical_FS!L53:L55),0)</f>
        <v>0.23292825325433533</v>
      </c>
      <c r="M22" s="30"/>
      <c r="N22" s="31">
        <f t="shared" si="0"/>
        <v>0.21255607051471193</v>
      </c>
      <c r="O22" s="31">
        <f t="shared" si="1"/>
        <v>0.20305158389329553</v>
      </c>
    </row>
    <row r="23" spans="2:15" x14ac:dyDescent="0.3">
      <c r="B23" t="s">
        <v>134</v>
      </c>
      <c r="D23" s="29">
        <f>IFERROR(Historical_FS!C50,0)</f>
        <v>1</v>
      </c>
      <c r="E23" s="29">
        <f>IFERROR(Historical_FS!D50,0)</f>
        <v>1</v>
      </c>
      <c r="F23" s="29">
        <f>IFERROR(Historical_FS!E50,0)</f>
        <v>1</v>
      </c>
      <c r="G23" s="29">
        <f>IFERROR(Historical_FS!F50,0)</f>
        <v>1</v>
      </c>
      <c r="H23" s="29">
        <f>IFERROR(Historical_FS!G50,0)</f>
        <v>1</v>
      </c>
      <c r="I23" s="29">
        <f>IFERROR(Historical_FS!H50,0)</f>
        <v>1</v>
      </c>
      <c r="J23" s="29">
        <f>IFERROR(Historical_FS!I50,0)</f>
        <v>0.93050319619734467</v>
      </c>
      <c r="K23" s="29">
        <f>IFERROR(Historical_FS!J50,0)</f>
        <v>1</v>
      </c>
      <c r="L23" s="29">
        <f>IFERROR(Historical_FS!K50,0)</f>
        <v>0.96697819314641753</v>
      </c>
      <c r="N23" s="29">
        <f t="shared" si="0"/>
        <v>0.98860904326041799</v>
      </c>
      <c r="O23" s="29">
        <f t="shared" si="1"/>
        <v>1</v>
      </c>
    </row>
    <row r="24" spans="2:15" x14ac:dyDescent="0.3">
      <c r="B24" t="s">
        <v>131</v>
      </c>
      <c r="D24" s="29">
        <f>IFERROR(Historical_FS!D39/SUM(Historical_FS!D53:D54),0)</f>
        <v>0.25663138638442462</v>
      </c>
      <c r="E24" s="29">
        <f>IFERROR(Historical_FS!E39/SUM(Historical_FS!E53:E54),0)</f>
        <v>0.13766822301565498</v>
      </c>
      <c r="F24" s="29">
        <f>IFERROR(Historical_FS!F39/SUM(Historical_FS!F53:F54),0)</f>
        <v>0.20924967658473459</v>
      </c>
      <c r="G24" s="29">
        <f>IFERROR(Historical_FS!G39/SUM(Historical_FS!G53:G54),0)</f>
        <v>9.2578086752178587E-2</v>
      </c>
      <c r="H24" s="29">
        <f>IFERROR(Historical_FS!H39/SUM(Historical_FS!H53:H54),0)</f>
        <v>0.21295440542205768</v>
      </c>
      <c r="I24" s="29">
        <f>IFERROR(Historical_FS!I39/SUM(Historical_FS!I53:I54),0)</f>
        <v>0.19280116293768162</v>
      </c>
      <c r="J24" s="29">
        <f>IFERROR(Historical_FS!J39/SUM(Historical_FS!J53:J54),0)</f>
        <v>0.23266810543417643</v>
      </c>
      <c r="K24" s="29">
        <f>IFERROR(Historical_FS!K39/SUM(Historical_FS!K53:K54),0)</f>
        <v>0.23930222155956499</v>
      </c>
      <c r="L24" s="29">
        <f>IFERROR(Historical_FS!L39/SUM(Historical_FS!L53:L54),0)</f>
        <v>0.18525896414342613</v>
      </c>
      <c r="N24" s="29">
        <f t="shared" si="0"/>
        <v>0.19545691469265553</v>
      </c>
      <c r="O24" s="29">
        <f t="shared" si="1"/>
        <v>0.20924967658473459</v>
      </c>
    </row>
    <row r="25" spans="2:15" x14ac:dyDescent="0.3">
      <c r="B25" t="s">
        <v>132</v>
      </c>
      <c r="D25" s="29">
        <f>D23*D24</f>
        <v>0.25663138638442462</v>
      </c>
      <c r="E25" s="29">
        <f t="shared" ref="E25:L25" si="2">E23*E24</f>
        <v>0.13766822301565498</v>
      </c>
      <c r="F25" s="29">
        <f t="shared" si="2"/>
        <v>0.20924967658473459</v>
      </c>
      <c r="G25" s="29">
        <f t="shared" si="2"/>
        <v>9.2578086752178587E-2</v>
      </c>
      <c r="H25" s="29">
        <f t="shared" si="2"/>
        <v>0.21295440542205768</v>
      </c>
      <c r="I25" s="29">
        <f t="shared" si="2"/>
        <v>0.19280116293768162</v>
      </c>
      <c r="J25" s="29">
        <f t="shared" si="2"/>
        <v>0.21649841575968196</v>
      </c>
      <c r="K25" s="29">
        <f t="shared" si="2"/>
        <v>0.23930222155956499</v>
      </c>
      <c r="L25" s="29">
        <f t="shared" si="2"/>
        <v>0.17914137841158714</v>
      </c>
      <c r="N25" s="29">
        <f t="shared" si="0"/>
        <v>0.19298055075861847</v>
      </c>
      <c r="O25" s="29">
        <f t="shared" si="1"/>
        <v>0.20924967658473459</v>
      </c>
    </row>
    <row r="26" spans="2:15" x14ac:dyDescent="0.3">
      <c r="B26" s="32" t="s">
        <v>133</v>
      </c>
      <c r="C26" s="32"/>
      <c r="D26" s="34">
        <f>IFERROR(Historical_FS!D24/Historical_FS!D27,0)</f>
        <v>4.004990019960081</v>
      </c>
      <c r="E26" s="34">
        <f>IFERROR(Historical_FS!E24/Historical_FS!E27,0)</f>
        <v>5.0259740259740244</v>
      </c>
      <c r="F26" s="34">
        <f>IFERROR(Historical_FS!F24/Historical_FS!F27,0)</f>
        <v>5.4303242769500404</v>
      </c>
      <c r="G26" s="34">
        <f>IFERROR(Historical_FS!G24/Historical_FS!G27,0)</f>
        <v>5.3889908256880723</v>
      </c>
      <c r="H26" s="34">
        <f>IFERROR(Historical_FS!H24/Historical_FS!H27,0)</f>
        <v>12.617940199335541</v>
      </c>
      <c r="I26" s="34">
        <f>IFERROR(Historical_FS!I24/Historical_FS!I27,0)</f>
        <v>10.265644955300125</v>
      </c>
      <c r="J26" s="34">
        <f>IFERROR(Historical_FS!J24/Historical_FS!J27,0)</f>
        <v>16.461538461538463</v>
      </c>
      <c r="K26" s="34">
        <f>IFERROR(Historical_FS!K24/Historical_FS!K27,0)</f>
        <v>50.755485893416989</v>
      </c>
      <c r="L26" s="34">
        <f>IFERROR(Historical_FS!L24/Historical_FS!L27,0)</f>
        <v>38.655502392344474</v>
      </c>
      <c r="M26" s="32"/>
      <c r="N26" s="34">
        <f t="shared" si="0"/>
        <v>16.511821227834201</v>
      </c>
      <c r="O26" s="34">
        <f t="shared" si="1"/>
        <v>10.265644955300125</v>
      </c>
    </row>
    <row r="28" spans="2:15" x14ac:dyDescent="0.3">
      <c r="B28" s="30" t="s">
        <v>137</v>
      </c>
      <c r="C28" s="30"/>
      <c r="D28" s="35">
        <f>IFERROR(Historical_FS!D6/Historical_FS!D65,0)</f>
        <v>6.2747814964826274</v>
      </c>
      <c r="E28" s="35">
        <f>IFERROR(Historical_FS!E6/Historical_FS!E65,0)</f>
        <v>5.9269358503758083</v>
      </c>
      <c r="F28" s="35">
        <f>IFERROR(Historical_FS!F6/Historical_FS!F65,0)</f>
        <v>5.835803876852907</v>
      </c>
      <c r="G28" s="35">
        <f>IFERROR(Historical_FS!G6/Historical_FS!G65,0)</f>
        <v>5.2883625128733263</v>
      </c>
      <c r="H28" s="35">
        <f>IFERROR(Historical_FS!H6/Historical_FS!H65,0)</f>
        <v>4.8614152473641523</v>
      </c>
      <c r="I28" s="35">
        <f>IFERROR(Historical_FS!I6/Historical_FS!I65,0)</f>
        <v>5.5514860655047578</v>
      </c>
      <c r="J28" s="35">
        <f>IFERROR(Historical_FS!J6/Historical_FS!J65,0)</f>
        <v>7.56559396106476</v>
      </c>
      <c r="K28" s="35">
        <f>IFERROR(Historical_FS!K6/Historical_FS!K65,0)</f>
        <v>5.6743435346700606</v>
      </c>
      <c r="L28" s="35">
        <f>IFERROR(Historical_FS!L6/Historical_FS!L65,0)</f>
        <v>5.028401844403021</v>
      </c>
      <c r="M28" s="30"/>
      <c r="N28" s="35">
        <f t="shared" si="0"/>
        <v>5.7785693766212693</v>
      </c>
      <c r="O28" s="35">
        <f t="shared" si="1"/>
        <v>5.6743435346700606</v>
      </c>
    </row>
    <row r="29" spans="2:15" x14ac:dyDescent="0.3">
      <c r="B29" t="s">
        <v>138</v>
      </c>
      <c r="D29" s="36">
        <f>IFERROR(Historical_FS!D6/Historical_FS!D56,0)</f>
        <v>6.9047619047619051</v>
      </c>
      <c r="E29" s="36">
        <f>IFERROR(Historical_FS!E6/Historical_FS!E56,0)</f>
        <v>6.0810616929698709</v>
      </c>
      <c r="F29" s="36">
        <f>IFERROR(Historical_FS!F6/Historical_FS!F56,0)</f>
        <v>7.2447310474992141</v>
      </c>
      <c r="G29" s="36">
        <f>IFERROR(Historical_FS!G6/Historical_FS!G56,0)</f>
        <v>6.3692116868798232</v>
      </c>
      <c r="H29" s="36">
        <f>IFERROR(Historical_FS!H6/Historical_FS!H56,0)</f>
        <v>5.4153585544889893</v>
      </c>
      <c r="I29" s="36">
        <f>IFERROR(Historical_FS!I6/Historical_FS!I56,0)</f>
        <v>7.0586660957070979</v>
      </c>
      <c r="J29" s="36">
        <f>IFERROR(Historical_FS!J6/Historical_FS!J56,0)</f>
        <v>12.038563661651283</v>
      </c>
      <c r="K29" s="36">
        <f>IFERROR(Historical_FS!K6/Historical_FS!K56,0)</f>
        <v>13.173079694480473</v>
      </c>
      <c r="L29" s="36">
        <f>IFERROR(Historical_FS!L6/Historical_FS!L56,0)</f>
        <v>12.084050453848873</v>
      </c>
      <c r="N29" s="36">
        <f t="shared" si="0"/>
        <v>8.4854983102541706</v>
      </c>
      <c r="O29" s="36">
        <f t="shared" si="1"/>
        <v>7.0586660957070979</v>
      </c>
    </row>
    <row r="30" spans="2:15" x14ac:dyDescent="0.3">
      <c r="B30" t="s">
        <v>139</v>
      </c>
      <c r="D30" s="36">
        <f>IFERROR(Historical_FS!D6/Historical_FS!D66,0)</f>
        <v>5.4569892473118289</v>
      </c>
      <c r="E30" s="36">
        <f>IFERROR(Historical_FS!E6/Historical_FS!E66,0)</f>
        <v>5.7745231607629428</v>
      </c>
      <c r="F30" s="36">
        <f>IFERROR(Historical_FS!F6/Historical_FS!F66,0)</f>
        <v>6.9548542956364185</v>
      </c>
      <c r="G30" s="36">
        <f>IFERROR(Historical_FS!G6/Historical_FS!G66,0)</f>
        <v>6.9256706129177275</v>
      </c>
      <c r="H30" s="36">
        <f>IFERROR(Historical_FS!H6/Historical_FS!H66,0)</f>
        <v>6.6740431454418934</v>
      </c>
      <c r="I30" s="36">
        <f>IFERROR(Historical_FS!I6/Historical_FS!I66,0)</f>
        <v>4.9612490594431904</v>
      </c>
      <c r="J30" s="36">
        <f>IFERROR(Historical_FS!J6/Historical_FS!J66,0)</f>
        <v>5.9575147040420475</v>
      </c>
      <c r="K30" s="36">
        <f>IFERROR(Historical_FS!K6/Historical_FS!K66,0)</f>
        <v>6.2987872105843437</v>
      </c>
      <c r="L30" s="36">
        <f>IFERROR(Historical_FS!L6/Historical_FS!L66,0)</f>
        <v>5.5332505667710246</v>
      </c>
      <c r="N30" s="36">
        <f t="shared" si="0"/>
        <v>6.0596535558790467</v>
      </c>
      <c r="O30" s="36">
        <f t="shared" si="1"/>
        <v>5.9575147040420475</v>
      </c>
    </row>
    <row r="31" spans="2:15" x14ac:dyDescent="0.3">
      <c r="B31" t="s">
        <v>140</v>
      </c>
      <c r="D31" s="36">
        <f>IFERROR(Historical_FS!D6/Historical_FS!D59,0)</f>
        <v>3.6941516064257027</v>
      </c>
      <c r="E31" s="36">
        <f>IFERROR(Historical_FS!E6/Historical_FS!E59,0)</f>
        <v>1.8262508752087037</v>
      </c>
      <c r="F31" s="36">
        <f>IFERROR(Historical_FS!F6/Historical_FS!F59,0)</f>
        <v>1.9729301409174627</v>
      </c>
      <c r="G31" s="36">
        <f>IFERROR(Historical_FS!G6/Historical_FS!G59,0)</f>
        <v>2.3706078481661965</v>
      </c>
      <c r="H31" s="36">
        <f>IFERROR(Historical_FS!H6/Historical_FS!H59,0)</f>
        <v>2.5531359812586518</v>
      </c>
      <c r="I31" s="36">
        <f>IFERROR(Historical_FS!I6/Historical_FS!I59,0)</f>
        <v>3.6892905102954345</v>
      </c>
      <c r="J31" s="36">
        <f>IFERROR(Historical_FS!J6/Historical_FS!J59,0)</f>
        <v>5.5424064264508992</v>
      </c>
      <c r="K31" s="36">
        <f>IFERROR(Historical_FS!K6/Historical_FS!K59,0)</f>
        <v>5.2221206581352835</v>
      </c>
      <c r="L31" s="36">
        <f>IFERROR(Historical_FS!L6/Historical_FS!L59,0)</f>
        <v>5.7839530553518026</v>
      </c>
      <c r="N31" s="36">
        <f t="shared" si="0"/>
        <v>3.6283163446900151</v>
      </c>
      <c r="O31" s="36">
        <f t="shared" si="1"/>
        <v>3.6892905102954345</v>
      </c>
    </row>
    <row r="32" spans="2:15" x14ac:dyDescent="0.3">
      <c r="B32" s="32" t="s">
        <v>141</v>
      </c>
      <c r="C32" s="32"/>
      <c r="D32" s="34">
        <f>IFERROR(Historical_FS!D6/SUM(Historical_FS!D53:D54),0)</f>
        <v>3.8462041029661571</v>
      </c>
      <c r="E32" s="34">
        <f>IFERROR(Historical_FS!E6/SUM(Historical_FS!E53:E54),0)</f>
        <v>2.3282065366657512</v>
      </c>
      <c r="F32" s="34">
        <f>IFERROR(Historical_FS!F6/SUM(Historical_FS!F53:F54),0)</f>
        <v>2.482858990944373</v>
      </c>
      <c r="G32" s="34">
        <f>IFERROR(Historical_FS!G6/SUM(Historical_FS!G53:G54),0)</f>
        <v>2.2625575247233916</v>
      </c>
      <c r="H32" s="34">
        <f>IFERROR(Historical_FS!H6/SUM(Historical_FS!H53:H54),0)</f>
        <v>1.8466189155884163</v>
      </c>
      <c r="I32" s="34">
        <f>IFERROR(Historical_FS!I6/SUM(Historical_FS!I53:I54),0)</f>
        <v>2.0836493490077106</v>
      </c>
      <c r="J32" s="34">
        <f>IFERROR(Historical_FS!J6/SUM(Historical_FS!J53:J54),0)</f>
        <v>2.3088096219597949</v>
      </c>
      <c r="K32" s="34">
        <f>IFERROR(Historical_FS!K6/SUM(Historical_FS!K53:K54),0)</f>
        <v>1.7035932607723272</v>
      </c>
      <c r="L32" s="34">
        <f>IFERROR(Historical_FS!L6/SUM(Historical_FS!L53:L54),0)</f>
        <v>1.5587877497643015</v>
      </c>
      <c r="M32" s="32"/>
      <c r="N32" s="34">
        <f t="shared" si="0"/>
        <v>2.2690317835991358</v>
      </c>
      <c r="O32" s="34">
        <f t="shared" si="1"/>
        <v>2.2625575247233916</v>
      </c>
    </row>
    <row r="34" spans="2:15" x14ac:dyDescent="0.3">
      <c r="B34" s="30" t="s">
        <v>142</v>
      </c>
      <c r="C34" s="30"/>
      <c r="D34" s="37">
        <f>IFERROR(365/D28,0)</f>
        <v>58.169356208595197</v>
      </c>
      <c r="E34" s="37">
        <f t="shared" ref="E34:L34" si="3">IFERROR(365/E28,0)</f>
        <v>61.583254689158899</v>
      </c>
      <c r="F34" s="37">
        <f t="shared" si="3"/>
        <v>62.544939429464641</v>
      </c>
      <c r="G34" s="37">
        <f t="shared" si="3"/>
        <v>69.019474196689387</v>
      </c>
      <c r="H34" s="37">
        <f t="shared" si="3"/>
        <v>75.081016828978377</v>
      </c>
      <c r="I34" s="37">
        <f t="shared" si="3"/>
        <v>65.7481610677182</v>
      </c>
      <c r="J34" s="37">
        <f t="shared" si="3"/>
        <v>48.244724985033557</v>
      </c>
      <c r="K34" s="37">
        <f t="shared" si="3"/>
        <v>64.3246214773324</v>
      </c>
      <c r="L34" s="37">
        <f t="shared" si="3"/>
        <v>72.587675228516531</v>
      </c>
      <c r="M34" s="30"/>
      <c r="N34" s="37">
        <f t="shared" si="0"/>
        <v>64.144802679054138</v>
      </c>
      <c r="O34" s="37">
        <f t="shared" si="1"/>
        <v>64.3246214773324</v>
      </c>
    </row>
    <row r="35" spans="2:15" x14ac:dyDescent="0.3">
      <c r="B35" t="s">
        <v>143</v>
      </c>
      <c r="D35" s="38">
        <f>IFERROR(365/D29,0)</f>
        <v>52.862068965517238</v>
      </c>
      <c r="E35" s="38">
        <f t="shared" ref="E35:L35" si="4">IFERROR(365/E29,0)</f>
        <v>60.022413589713345</v>
      </c>
      <c r="F35" s="38">
        <f t="shared" si="4"/>
        <v>50.381442403716726</v>
      </c>
      <c r="G35" s="38">
        <f t="shared" si="4"/>
        <v>57.306934977821058</v>
      </c>
      <c r="H35" s="38">
        <f t="shared" si="4"/>
        <v>67.400892540612688</v>
      </c>
      <c r="I35" s="38">
        <f t="shared" si="4"/>
        <v>51.709486615606281</v>
      </c>
      <c r="J35" s="38">
        <f t="shared" si="4"/>
        <v>30.319231617531219</v>
      </c>
      <c r="K35" s="38">
        <f t="shared" si="4"/>
        <v>27.708023367757747</v>
      </c>
      <c r="L35" s="38">
        <f t="shared" si="4"/>
        <v>30.205103942092894</v>
      </c>
      <c r="N35" s="38">
        <f t="shared" si="0"/>
        <v>47.546177557818801</v>
      </c>
      <c r="O35" s="38">
        <f t="shared" si="1"/>
        <v>51.709486615606281</v>
      </c>
    </row>
    <row r="36" spans="2:15" x14ac:dyDescent="0.3">
      <c r="B36" s="32" t="s">
        <v>144</v>
      </c>
      <c r="C36" s="32"/>
      <c r="D36" s="39">
        <f>IFERROR(365/D30,0)</f>
        <v>66.886699507389153</v>
      </c>
      <c r="E36" s="39">
        <f t="shared" ref="E36:L36" si="5">IFERROR(365/E30,0)</f>
        <v>63.208682316857377</v>
      </c>
      <c r="F36" s="39">
        <f t="shared" si="5"/>
        <v>52.481329512396336</v>
      </c>
      <c r="G36" s="39">
        <f t="shared" si="5"/>
        <v>52.70247755057882</v>
      </c>
      <c r="H36" s="39">
        <f t="shared" si="5"/>
        <v>54.689487623297808</v>
      </c>
      <c r="I36" s="39">
        <f t="shared" si="5"/>
        <v>73.570182755744298</v>
      </c>
      <c r="J36" s="39">
        <f t="shared" si="5"/>
        <v>61.267158896369189</v>
      </c>
      <c r="K36" s="39">
        <f t="shared" si="5"/>
        <v>57.947663224225451</v>
      </c>
      <c r="L36" s="39">
        <f t="shared" si="5"/>
        <v>65.96484211142436</v>
      </c>
      <c r="M36" s="32"/>
      <c r="N36" s="39">
        <f t="shared" si="0"/>
        <v>60.968724833142538</v>
      </c>
      <c r="O36" s="39">
        <f t="shared" si="1"/>
        <v>61.267158896369189</v>
      </c>
    </row>
    <row r="38" spans="2:15" x14ac:dyDescent="0.3">
      <c r="B38" s="30" t="s">
        <v>146</v>
      </c>
      <c r="C38" s="30"/>
      <c r="D38" s="31">
        <f>IFERROR(Historical_FS!D85/Historical_FS!D6,0)</f>
        <v>4.4165109563444875E-2</v>
      </c>
      <c r="E38" s="31">
        <f>IFERROR(Historical_FS!E85/Historical_FS!E6,0)</f>
        <v>1.1796626164916835E-2</v>
      </c>
      <c r="F38" s="31">
        <f>IFERROR(Historical_FS!F85/Historical_FS!F6,0)</f>
        <v>-2.605184316790413E-2</v>
      </c>
      <c r="G38" s="31">
        <f>IFERROR(Historical_FS!G85/Historical_FS!G6,0)</f>
        <v>0.15795737314724656</v>
      </c>
      <c r="H38" s="31">
        <f>IFERROR(Historical_FS!H85/Historical_FS!H6,0)</f>
        <v>0.16057389527245428</v>
      </c>
      <c r="I38" s="31">
        <f>IFERROR(Historical_FS!I85/Historical_FS!I6,0)</f>
        <v>-9.8581936755895952E-2</v>
      </c>
      <c r="J38" s="31">
        <f>IFERROR(Historical_FS!J85/Historical_FS!J6,0)</f>
        <v>7.3519372354615437E-3</v>
      </c>
      <c r="K38" s="31">
        <f>IFERROR(Historical_FS!K85/Historical_FS!K6,0)</f>
        <v>8.423770348328373E-2</v>
      </c>
      <c r="L38" s="31">
        <f>IFERROR(Historical_FS!L85/Historical_FS!L6,0)</f>
        <v>7.0237735223248693E-2</v>
      </c>
      <c r="M38" s="30"/>
      <c r="N38" s="31">
        <f t="shared" si="0"/>
        <v>4.5742955574028493E-2</v>
      </c>
      <c r="O38" s="31">
        <f t="shared" si="1"/>
        <v>4.4165109563444875E-2</v>
      </c>
    </row>
    <row r="39" spans="2:15" x14ac:dyDescent="0.3">
      <c r="B39" t="s">
        <v>145</v>
      </c>
      <c r="D39" s="29">
        <f>IFERROR(Historical_FS!D85/Historical_FS!D18,0)</f>
        <v>0.28365699323587162</v>
      </c>
      <c r="E39" s="29">
        <f>IFERROR(Historical_FS!E85/Historical_FS!E18,0)</f>
        <v>8.0759135877246133E-2</v>
      </c>
      <c r="F39" s="29">
        <f>IFERROR(Historical_FS!F85/Historical_FS!F18,0)</f>
        <v>-0.14968192590744675</v>
      </c>
      <c r="G39" s="29">
        <f>IFERROR(Historical_FS!G85/Historical_FS!G18,0)</f>
        <v>0.9157049673858505</v>
      </c>
      <c r="H39" s="29">
        <f>IFERROR(Historical_FS!H85/Historical_FS!H18,0)</f>
        <v>0.77691453940066635</v>
      </c>
      <c r="I39" s="29">
        <f>IFERROR(Historical_FS!I85/Historical_FS!I18,0)</f>
        <v>-0.62717097645696651</v>
      </c>
      <c r="J39" s="29">
        <f>IFERROR(Historical_FS!J85/Historical_FS!J18,0)</f>
        <v>4.5216717266326457E-2</v>
      </c>
      <c r="K39" s="29">
        <f>IFERROR(Historical_FS!K85/Historical_FS!K18,0)</f>
        <v>0.41809198023565142</v>
      </c>
      <c r="L39" s="29">
        <f>IFERROR(Historical_FS!L85/Historical_FS!L18,0)</f>
        <v>0.38824480992181198</v>
      </c>
      <c r="N39" s="29">
        <f t="shared" si="0"/>
        <v>0.23685958232877904</v>
      </c>
      <c r="O39" s="29">
        <f t="shared" si="1"/>
        <v>0.28365699323587162</v>
      </c>
    </row>
    <row r="40" spans="2:15" x14ac:dyDescent="0.3">
      <c r="B40" t="s">
        <v>147</v>
      </c>
      <c r="D40" s="29">
        <f>IFERROR(Historical_FS!D85/Historical_FS!D70,0)</f>
        <v>4.2881646655231566E-2</v>
      </c>
      <c r="E40" s="29">
        <f>IFERROR(Historical_FS!E85/Historical_FS!E70,0)</f>
        <v>1.2187690432663011E-2</v>
      </c>
      <c r="F40" s="29">
        <f>IFERROR(Historical_FS!F85/Historical_FS!F70,0)</f>
        <v>-2.7387880862718247E-2</v>
      </c>
      <c r="G40" s="29">
        <f>IFERROR(Historical_FS!G85/Historical_FS!G70,0)</f>
        <v>0.18466987098406276</v>
      </c>
      <c r="H40" s="29">
        <f>IFERROR(Historical_FS!H85/Historical_FS!H70,0)</f>
        <v>0.18901271540085424</v>
      </c>
      <c r="I40" s="29">
        <f>IFERROR(Historical_FS!I85/Historical_FS!I70,0)</f>
        <v>-0.13285098207533674</v>
      </c>
      <c r="J40" s="29">
        <f>IFERROR(Historical_FS!J85/Historical_FS!J70,0)</f>
        <v>1.3001244404821602E-2</v>
      </c>
      <c r="K40" s="29">
        <f>IFERROR(Historical_FS!K85/Historical_FS!K70,0)</f>
        <v>0.12707319085733146</v>
      </c>
      <c r="L40" s="29">
        <f>IFERROR(Historical_FS!L85/Historical_FS!L70,0)</f>
        <v>9.248317320043159E-2</v>
      </c>
      <c r="N40" s="29">
        <f t="shared" si="0"/>
        <v>5.5674518777482356E-2</v>
      </c>
      <c r="O40" s="29">
        <f t="shared" si="1"/>
        <v>4.2881646655231566E-2</v>
      </c>
    </row>
    <row r="41" spans="2:15" x14ac:dyDescent="0.3">
      <c r="B41" s="32" t="s">
        <v>148</v>
      </c>
      <c r="C41" s="32"/>
      <c r="D41" s="33">
        <f>IFERROR(Historical_FS!D85/Historical_FS!D55,0)</f>
        <v>7.0652173913043473E-2</v>
      </c>
      <c r="E41" s="33">
        <f>IFERROR(Historical_FS!E85/Historical_FS!E55,0)</f>
        <v>3.1545741324921134E-2</v>
      </c>
      <c r="F41" s="33">
        <f>IFERROR(Historical_FS!F85/Historical_FS!F55,0)</f>
        <v>-6.3475271092303623E-2</v>
      </c>
      <c r="G41" s="33">
        <f>IFERROR(Historical_FS!G85/Historical_FS!G55,0)</f>
        <v>0.6161377447670493</v>
      </c>
      <c r="H41" s="33">
        <f>IFERROR(Historical_FS!H85/Historical_FS!H55,0)</f>
        <v>1.3017751479289941</v>
      </c>
      <c r="I41" s="33">
        <f>IFERROR(Historical_FS!I85/Historical_FS!I55,0)</f>
        <v>-0.81843364391840845</v>
      </c>
      <c r="J41" s="33">
        <f>IFERROR(Historical_FS!J85/Historical_FS!J55,0)</f>
        <v>0.14915832090347325</v>
      </c>
      <c r="K41" s="33">
        <f>IFERROR(Historical_FS!K85/Historical_FS!K55,0)</f>
        <v>0</v>
      </c>
      <c r="L41" s="33">
        <f>IFERROR(Historical_FS!L85/Historical_FS!L55,0)</f>
        <v>1.9961186581646797</v>
      </c>
      <c r="M41" s="32"/>
      <c r="N41" s="33">
        <f t="shared" si="0"/>
        <v>0.3648309857768276</v>
      </c>
      <c r="O41" s="33">
        <f t="shared" si="1"/>
        <v>7.0652173913043473E-2</v>
      </c>
    </row>
  </sheetData>
  <mergeCells count="1">
    <mergeCell ref="B2:O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negative="1" xr2:uid="{E2EC1A73-4A1A-400E-9EDD-9447EC5DF075}">
          <x14:colorSeries theme="4" tint="0.39997558519241921"/>
          <x14:colorNegative rgb="FFD00000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  <x14:sparkline>
              <xm:f>'Ratio Analysis'!D10:L10</xm:f>
              <xm:sqref>M10</xm:sqref>
            </x14:sparkline>
            <x14:sparkline>
              <xm:f>'Ratio Analysis'!D11:L11</xm:f>
              <xm:sqref>M11</xm:sqref>
            </x14:sparkline>
            <x14:sparkline>
              <xm:f>'Ratio Analysis'!D12:L12</xm:f>
              <xm:sqref>M12</xm:sqref>
            </x14:sparkline>
            <x14:sparkline>
              <xm:f>'Ratio Analysis'!D13:L13</xm:f>
              <xm:sqref>M13</xm:sqref>
            </x14:sparkline>
            <x14:sparkline>
              <xm:f>'Ratio Analysis'!D14:L14</xm:f>
              <xm:sqref>M14</xm:sqref>
            </x14:sparkline>
            <x14:sparkline>
              <xm:f>'Ratio Analysis'!D15:L15</xm:f>
              <xm:sqref>M15</xm:sqref>
            </x14:sparkline>
            <x14:sparkline>
              <xm:f>'Ratio Analysis'!D16:L16</xm:f>
              <xm:sqref>M16</xm:sqref>
            </x14:sparkline>
            <x14:sparkline>
              <xm:f>'Ratio Analysis'!D17:L17</xm:f>
              <xm:sqref>M17</xm:sqref>
            </x14:sparkline>
            <x14:sparkline>
              <xm:f>'Ratio Analysis'!D18:L18</xm:f>
              <xm:sqref>M18</xm:sqref>
            </x14:sparkline>
            <x14:sparkline>
              <xm:f>'Ratio Analysis'!D19:L19</xm:f>
              <xm:sqref>M19</xm:sqref>
            </x14:sparkline>
            <x14:sparkline>
              <xm:f>'Ratio Analysis'!D20:L20</xm:f>
              <xm:sqref>M20</xm:sqref>
            </x14:sparkline>
            <x14:sparkline>
              <xm:f>'Ratio Analysis'!D21:L21</xm:f>
              <xm:sqref>M21</xm:sqref>
            </x14:sparkline>
            <x14:sparkline>
              <xm:f>'Ratio Analysis'!D22:L22</xm:f>
              <xm:sqref>M22</xm:sqref>
            </x14:sparkline>
            <x14:sparkline>
              <xm:f>'Ratio Analysis'!D23:L23</xm:f>
              <xm:sqref>M23</xm:sqref>
            </x14:sparkline>
            <x14:sparkline>
              <xm:f>'Ratio Analysis'!D24:L24</xm:f>
              <xm:sqref>M24</xm:sqref>
            </x14:sparkline>
            <x14:sparkline>
              <xm:f>'Ratio Analysis'!D25:L25</xm:f>
              <xm:sqref>M25</xm:sqref>
            </x14:sparkline>
            <x14:sparkline>
              <xm:f>'Ratio Analysis'!D26:L26</xm:f>
              <xm:sqref>M26</xm:sqref>
            </x14:sparkline>
            <x14:sparkline>
              <xm:f>'Ratio Analysis'!D27:L27</xm:f>
              <xm:sqref>M27</xm:sqref>
            </x14:sparkline>
            <x14:sparkline>
              <xm:f>'Ratio Analysis'!D28:L28</xm:f>
              <xm:sqref>M28</xm:sqref>
            </x14:sparkline>
            <x14:sparkline>
              <xm:f>'Ratio Analysis'!D29:L29</xm:f>
              <xm:sqref>M29</xm:sqref>
            </x14:sparkline>
            <x14:sparkline>
              <xm:f>'Ratio Analysis'!D30:L30</xm:f>
              <xm:sqref>M30</xm:sqref>
            </x14:sparkline>
            <x14:sparkline>
              <xm:f>'Ratio Analysis'!D31:L31</xm:f>
              <xm:sqref>M31</xm:sqref>
            </x14:sparkline>
            <x14:sparkline>
              <xm:f>'Ratio Analysis'!D32:L32</xm:f>
              <xm:sqref>M32</xm:sqref>
            </x14:sparkline>
            <x14:sparkline>
              <xm:f>'Ratio Analysis'!D33:L33</xm:f>
              <xm:sqref>M33</xm:sqref>
            </x14:sparkline>
            <x14:sparkline>
              <xm:f>'Ratio Analysis'!D34:L34</xm:f>
              <xm:sqref>M34</xm:sqref>
            </x14:sparkline>
            <x14:sparkline>
              <xm:f>'Ratio Analysis'!D35:L35</xm:f>
              <xm:sqref>M35</xm:sqref>
            </x14:sparkline>
            <x14:sparkline>
              <xm:f>'Ratio Analysis'!D36:L36</xm:f>
              <xm:sqref>M36</xm:sqref>
            </x14:sparkline>
            <x14:sparkline>
              <xm:f>'Ratio Analysis'!D37:L37</xm:f>
              <xm:sqref>M37</xm:sqref>
            </x14:sparkline>
            <x14:sparkline>
              <xm:f>'Ratio Analysis'!D38:L38</xm:f>
              <xm:sqref>M38</xm:sqref>
            </x14:sparkline>
            <x14:sparkline>
              <xm:f>'Ratio Analysis'!D39:L39</xm:f>
              <xm:sqref>M39</xm:sqref>
            </x14:sparkline>
            <x14:sparkline>
              <xm:f>'Ratio Analysis'!D40:L40</xm:f>
              <xm:sqref>M40</xm:sqref>
            </x14:sparkline>
            <x14:sparkline>
              <xm:f>'Ratio Analysis'!D41:L41</xm:f>
              <xm:sqref>M41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F1493-6A1A-47A8-BD44-62E6D31EAA72}">
  <dimension ref="B3:P32"/>
  <sheetViews>
    <sheetView showGridLines="0" workbookViewId="0">
      <selection activeCell="E26" sqref="E26"/>
    </sheetView>
  </sheetViews>
  <sheetFormatPr defaultRowHeight="14.4" x14ac:dyDescent="0.3"/>
  <cols>
    <col min="1" max="1" width="1.88671875" customWidth="1"/>
    <col min="2" max="2" width="13.21875" customWidth="1"/>
    <col min="3" max="3" width="9.6640625" bestFit="1" customWidth="1"/>
    <col min="4" max="4" width="9.44140625" bestFit="1" customWidth="1"/>
    <col min="5" max="5" width="11.88671875" bestFit="1" customWidth="1"/>
    <col min="8" max="8" width="17.44140625" bestFit="1" customWidth="1"/>
  </cols>
  <sheetData>
    <row r="3" spans="2:8" x14ac:dyDescent="0.3">
      <c r="B3" s="168" t="str">
        <f>"Sales Forecasting -" &amp;DataSheet!B1</f>
        <v>Sales Forecasting -STYLAM INDUSTRIES LTD</v>
      </c>
      <c r="C3" s="168"/>
      <c r="D3" s="168"/>
      <c r="E3" s="168"/>
    </row>
    <row r="4" spans="2:8" x14ac:dyDescent="0.3">
      <c r="B4" s="9" t="s">
        <v>152</v>
      </c>
      <c r="C4" s="11" t="s">
        <v>153</v>
      </c>
      <c r="D4" s="11" t="s">
        <v>12</v>
      </c>
      <c r="E4" s="11" t="s">
        <v>56</v>
      </c>
    </row>
    <row r="5" spans="2:8" x14ac:dyDescent="0.3">
      <c r="B5">
        <v>1</v>
      </c>
      <c r="C5" s="41">
        <f t="array" ref="C5">Historical_FS!C3:L3</f>
        <v>42460</v>
      </c>
      <c r="D5" s="14">
        <f t="array" ref="D5:D14">TRANSPOSE(Historical_FS!C6:L6)</f>
        <v>264.26</v>
      </c>
    </row>
    <row r="6" spans="2:8" x14ac:dyDescent="0.3">
      <c r="B6">
        <f>B5+1</f>
        <v>2</v>
      </c>
      <c r="C6" s="41">
        <f>C5+365</f>
        <v>42825</v>
      </c>
      <c r="D6" s="14">
        <v>294.35000000000002</v>
      </c>
      <c r="E6" s="13">
        <f>D6/D5-1</f>
        <v>0.11386513282373434</v>
      </c>
    </row>
    <row r="7" spans="2:8" x14ac:dyDescent="0.3">
      <c r="B7">
        <f t="shared" ref="B7:B19" si="0">B6+1</f>
        <v>3</v>
      </c>
      <c r="C7" s="41">
        <f t="shared" ref="C7:C19" si="1">C6+365</f>
        <v>43190</v>
      </c>
      <c r="D7" s="14">
        <v>339.08</v>
      </c>
      <c r="E7" s="13">
        <f t="shared" ref="E7:E19" si="2">D7/D6-1</f>
        <v>0.1519619500594529</v>
      </c>
    </row>
    <row r="8" spans="2:8" x14ac:dyDescent="0.3">
      <c r="B8">
        <f t="shared" si="0"/>
        <v>4</v>
      </c>
      <c r="C8" s="41">
        <f t="shared" si="1"/>
        <v>43555</v>
      </c>
      <c r="D8" s="14">
        <v>460.62</v>
      </c>
      <c r="E8" s="13">
        <f t="shared" si="2"/>
        <v>0.35844048602099798</v>
      </c>
    </row>
    <row r="9" spans="2:8" x14ac:dyDescent="0.3">
      <c r="B9">
        <f t="shared" si="0"/>
        <v>5</v>
      </c>
      <c r="C9" s="41">
        <f t="shared" si="1"/>
        <v>43920</v>
      </c>
      <c r="D9" s="14">
        <v>462.15</v>
      </c>
      <c r="E9" s="13">
        <f t="shared" si="2"/>
        <v>3.3216100039077379E-3</v>
      </c>
    </row>
    <row r="10" spans="2:8" x14ac:dyDescent="0.3">
      <c r="B10">
        <f t="shared" si="0"/>
        <v>6</v>
      </c>
      <c r="C10" s="41">
        <f t="shared" si="1"/>
        <v>44285</v>
      </c>
      <c r="D10" s="14">
        <v>479.53</v>
      </c>
      <c r="E10" s="13">
        <f t="shared" si="2"/>
        <v>3.7606837606837695E-2</v>
      </c>
    </row>
    <row r="11" spans="2:8" x14ac:dyDescent="0.3">
      <c r="B11">
        <f t="shared" si="0"/>
        <v>7</v>
      </c>
      <c r="C11" s="41">
        <f t="shared" si="1"/>
        <v>44650</v>
      </c>
      <c r="D11" s="14">
        <v>659.35</v>
      </c>
      <c r="E11" s="13">
        <f t="shared" si="2"/>
        <v>0.3749921798427629</v>
      </c>
    </row>
    <row r="12" spans="2:8" x14ac:dyDescent="0.3">
      <c r="B12">
        <f t="shared" si="0"/>
        <v>8</v>
      </c>
      <c r="C12" s="41">
        <f t="shared" si="1"/>
        <v>45015</v>
      </c>
      <c r="D12" s="14">
        <v>952.13</v>
      </c>
      <c r="E12" s="13">
        <f t="shared" si="2"/>
        <v>0.44404337605217248</v>
      </c>
    </row>
    <row r="13" spans="2:8" x14ac:dyDescent="0.3">
      <c r="B13">
        <f t="shared" si="0"/>
        <v>9</v>
      </c>
      <c r="C13" s="41">
        <f t="shared" si="1"/>
        <v>45380</v>
      </c>
      <c r="D13" s="14">
        <v>914.08</v>
      </c>
      <c r="E13" s="13">
        <f t="shared" si="2"/>
        <v>-3.9963030258473031E-2</v>
      </c>
    </row>
    <row r="14" spans="2:8" x14ac:dyDescent="0.3">
      <c r="B14">
        <f t="shared" si="0"/>
        <v>10</v>
      </c>
      <c r="C14" s="41">
        <f t="shared" si="1"/>
        <v>45745</v>
      </c>
      <c r="D14" s="14">
        <v>1025.0899999999999</v>
      </c>
      <c r="E14" s="13">
        <f t="shared" si="2"/>
        <v>0.12144451251531585</v>
      </c>
    </row>
    <row r="15" spans="2:8" x14ac:dyDescent="0.3">
      <c r="B15" s="42">
        <f t="shared" si="0"/>
        <v>11</v>
      </c>
      <c r="C15" s="47">
        <f t="shared" si="1"/>
        <v>46110</v>
      </c>
      <c r="D15" s="164">
        <f>FORECAST(B15,$D$5:$D$14,$B$5:$B$14)</f>
        <v>1080.5440000000001</v>
      </c>
      <c r="E15" s="43">
        <f t="shared" si="2"/>
        <v>5.4096713459306223E-2</v>
      </c>
      <c r="H15" t="s">
        <v>154</v>
      </c>
    </row>
    <row r="16" spans="2:8" ht="15" thickBot="1" x14ac:dyDescent="0.35">
      <c r="B16" s="42">
        <f t="shared" si="0"/>
        <v>12</v>
      </c>
      <c r="C16" s="47">
        <f t="shared" si="1"/>
        <v>46475</v>
      </c>
      <c r="D16" s="164">
        <f t="shared" ref="D16:D19" si="3">FORECAST(B16,$D$5:$D$14,$B$5:$B$14)</f>
        <v>1170.6312727272727</v>
      </c>
      <c r="E16" s="43">
        <f t="shared" si="2"/>
        <v>8.3372146555135807E-2</v>
      </c>
    </row>
    <row r="17" spans="2:16" x14ac:dyDescent="0.3">
      <c r="B17" s="42">
        <f t="shared" si="0"/>
        <v>13</v>
      </c>
      <c r="C17" s="47">
        <f t="shared" si="1"/>
        <v>46840</v>
      </c>
      <c r="D17" s="164">
        <f t="shared" si="3"/>
        <v>1260.7185454545454</v>
      </c>
      <c r="E17" s="43">
        <f t="shared" si="2"/>
        <v>7.6956147359187099E-2</v>
      </c>
      <c r="H17" s="46" t="s">
        <v>155</v>
      </c>
      <c r="I17" s="46"/>
    </row>
    <row r="18" spans="2:16" x14ac:dyDescent="0.3">
      <c r="B18" s="42">
        <f t="shared" si="0"/>
        <v>14</v>
      </c>
      <c r="C18" s="47">
        <f t="shared" si="1"/>
        <v>47205</v>
      </c>
      <c r="D18" s="164">
        <f t="shared" si="3"/>
        <v>1350.805818181818</v>
      </c>
      <c r="E18" s="43">
        <f t="shared" si="2"/>
        <v>7.1457085367767181E-2</v>
      </c>
      <c r="H18" t="s">
        <v>156</v>
      </c>
      <c r="I18">
        <v>0.95652046291635795</v>
      </c>
    </row>
    <row r="19" spans="2:16" x14ac:dyDescent="0.3">
      <c r="B19" s="42">
        <f t="shared" si="0"/>
        <v>15</v>
      </c>
      <c r="C19" s="47">
        <f t="shared" si="1"/>
        <v>47570</v>
      </c>
      <c r="D19" s="164">
        <f t="shared" si="3"/>
        <v>1440.8930909090909</v>
      </c>
      <c r="E19" s="43">
        <f t="shared" si="2"/>
        <v>6.6691504814903935E-2</v>
      </c>
      <c r="H19" t="s">
        <v>157</v>
      </c>
      <c r="I19">
        <v>0.91493139597772377</v>
      </c>
    </row>
    <row r="20" spans="2:16" x14ac:dyDescent="0.3">
      <c r="H20" t="s">
        <v>158</v>
      </c>
      <c r="I20">
        <v>0.90429782047493923</v>
      </c>
    </row>
    <row r="21" spans="2:16" x14ac:dyDescent="0.3">
      <c r="H21" t="s">
        <v>159</v>
      </c>
      <c r="I21">
        <v>88.21365319237978</v>
      </c>
    </row>
    <row r="22" spans="2:16" ht="15" thickBot="1" x14ac:dyDescent="0.35">
      <c r="H22" s="44" t="s">
        <v>160</v>
      </c>
      <c r="I22" s="44">
        <v>10</v>
      </c>
    </row>
    <row r="24" spans="2:16" ht="15" thickBot="1" x14ac:dyDescent="0.35">
      <c r="H24" t="s">
        <v>161</v>
      </c>
    </row>
    <row r="25" spans="2:16" x14ac:dyDescent="0.3">
      <c r="H25" s="45"/>
      <c r="I25" s="45" t="s">
        <v>165</v>
      </c>
      <c r="J25" s="45" t="s">
        <v>166</v>
      </c>
      <c r="K25" s="45" t="s">
        <v>167</v>
      </c>
      <c r="L25" s="45" t="s">
        <v>168</v>
      </c>
      <c r="M25" s="45" t="s">
        <v>169</v>
      </c>
    </row>
    <row r="26" spans="2:16" x14ac:dyDescent="0.3">
      <c r="H26" t="s">
        <v>162</v>
      </c>
      <c r="I26">
        <v>1</v>
      </c>
      <c r="J26">
        <v>669546.62836363632</v>
      </c>
      <c r="K26">
        <v>669546.62836363632</v>
      </c>
      <c r="L26">
        <v>86.04174538828812</v>
      </c>
      <c r="M26">
        <v>1.4834600813084536E-5</v>
      </c>
    </row>
    <row r="27" spans="2:16" x14ac:dyDescent="0.3">
      <c r="H27" t="s">
        <v>163</v>
      </c>
      <c r="I27">
        <v>8</v>
      </c>
      <c r="J27">
        <v>62253.188876363638</v>
      </c>
      <c r="K27">
        <v>7781.6486095454547</v>
      </c>
    </row>
    <row r="28" spans="2:16" ht="15" thickBot="1" x14ac:dyDescent="0.35">
      <c r="H28" s="44" t="s">
        <v>35</v>
      </c>
      <c r="I28" s="44">
        <v>9</v>
      </c>
      <c r="J28" s="44">
        <v>731799.81724</v>
      </c>
      <c r="K28" s="44"/>
      <c r="L28" s="44"/>
      <c r="M28" s="44"/>
    </row>
    <row r="29" spans="2:16" ht="15" thickBot="1" x14ac:dyDescent="0.35"/>
    <row r="30" spans="2:16" x14ac:dyDescent="0.3">
      <c r="H30" s="45"/>
      <c r="I30" s="45" t="s">
        <v>170</v>
      </c>
      <c r="J30" s="45" t="s">
        <v>159</v>
      </c>
      <c r="K30" s="45" t="s">
        <v>171</v>
      </c>
      <c r="L30" s="45" t="s">
        <v>172</v>
      </c>
      <c r="M30" s="45" t="s">
        <v>173</v>
      </c>
      <c r="N30" s="45" t="s">
        <v>174</v>
      </c>
      <c r="O30" s="45" t="s">
        <v>175</v>
      </c>
      <c r="P30" s="45" t="s">
        <v>176</v>
      </c>
    </row>
    <row r="31" spans="2:16" x14ac:dyDescent="0.3">
      <c r="H31" t="s">
        <v>164</v>
      </c>
      <c r="I31">
        <v>89.58400000000006</v>
      </c>
      <c r="J31">
        <v>60.261397409850026</v>
      </c>
      <c r="K31">
        <v>1.4865901530746299</v>
      </c>
      <c r="L31">
        <v>0.17543340802972429</v>
      </c>
      <c r="M31">
        <v>-49.379031620295791</v>
      </c>
      <c r="N31">
        <v>228.54703162029591</v>
      </c>
      <c r="O31">
        <v>-49.379031620295791</v>
      </c>
      <c r="P31">
        <v>228.54703162029591</v>
      </c>
    </row>
    <row r="32" spans="2:16" ht="15" thickBot="1" x14ac:dyDescent="0.35">
      <c r="H32" s="44" t="s">
        <v>177</v>
      </c>
      <c r="I32" s="44">
        <v>90.087272727272733</v>
      </c>
      <c r="J32" s="44">
        <v>9.7120035754233438</v>
      </c>
      <c r="K32" s="44">
        <v>9.2758689829195049</v>
      </c>
      <c r="L32" s="44">
        <v>1.4834600813084504E-5</v>
      </c>
      <c r="M32" s="44">
        <v>67.691352321228848</v>
      </c>
      <c r="N32" s="44">
        <v>112.48319313331662</v>
      </c>
      <c r="O32" s="44">
        <v>67.691352321228848</v>
      </c>
      <c r="P32" s="44">
        <v>112.48319313331662</v>
      </c>
    </row>
  </sheetData>
  <mergeCells count="1">
    <mergeCell ref="B3:E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A0FED-D893-46BD-8CDD-1BF4A17E8330}">
  <dimension ref="B2:L43"/>
  <sheetViews>
    <sheetView showGridLines="0" topLeftCell="A19" zoomScale="96" workbookViewId="0">
      <selection activeCell="N35" sqref="N35"/>
    </sheetView>
  </sheetViews>
  <sheetFormatPr defaultRowHeight="14.4" x14ac:dyDescent="0.3"/>
  <cols>
    <col min="1" max="1" width="1.88671875" customWidth="1"/>
    <col min="2" max="2" width="19.88671875" bestFit="1" customWidth="1"/>
    <col min="3" max="3" width="14" customWidth="1"/>
    <col min="4" max="4" width="7.77734375" bestFit="1" customWidth="1"/>
    <col min="5" max="5" width="16.5546875" customWidth="1"/>
    <col min="6" max="6" width="11.109375" bestFit="1" customWidth="1"/>
    <col min="8" max="8" width="6.77734375" bestFit="1" customWidth="1"/>
    <col min="9" max="9" width="9" bestFit="1" customWidth="1"/>
    <col min="10" max="10" width="10.109375" bestFit="1" customWidth="1"/>
    <col min="11" max="11" width="15.77734375" customWidth="1"/>
  </cols>
  <sheetData>
    <row r="2" spans="2:11" ht="15.6" x14ac:dyDescent="0.3">
      <c r="B2" s="169" t="s">
        <v>249</v>
      </c>
      <c r="C2" s="169"/>
      <c r="D2" s="169"/>
      <c r="E2" s="169"/>
      <c r="F2" s="169"/>
      <c r="G2" s="169"/>
      <c r="H2" s="169"/>
      <c r="I2" s="169"/>
      <c r="J2" s="169"/>
      <c r="K2" s="169"/>
    </row>
    <row r="3" spans="2:11" x14ac:dyDescent="0.3">
      <c r="B3" s="79" t="s">
        <v>239</v>
      </c>
    </row>
    <row r="5" spans="2:11" x14ac:dyDescent="0.3">
      <c r="B5" s="52" t="s">
        <v>178</v>
      </c>
      <c r="C5" s="48"/>
      <c r="D5" s="48"/>
      <c r="E5" s="48"/>
      <c r="F5" s="48"/>
      <c r="G5" s="48"/>
      <c r="H5" s="48"/>
      <c r="I5" s="48"/>
      <c r="J5" s="48"/>
      <c r="K5" s="48"/>
    </row>
    <row r="7" spans="2:11" x14ac:dyDescent="0.3">
      <c r="H7" t="s">
        <v>184</v>
      </c>
      <c r="I7" t="s">
        <v>184</v>
      </c>
      <c r="J7" t="s">
        <v>187</v>
      </c>
      <c r="K7" t="s">
        <v>238</v>
      </c>
    </row>
    <row r="8" spans="2:11" ht="16.2" x14ac:dyDescent="0.3">
      <c r="B8" s="48" t="s">
        <v>179</v>
      </c>
      <c r="C8" s="48"/>
      <c r="D8" s="51" t="s">
        <v>180</v>
      </c>
      <c r="E8" s="51" t="s">
        <v>181</v>
      </c>
      <c r="F8" s="51" t="s">
        <v>182</v>
      </c>
      <c r="G8" s="51" t="s">
        <v>183</v>
      </c>
      <c r="H8" s="51" t="s">
        <v>185</v>
      </c>
      <c r="I8" s="51" t="s">
        <v>186</v>
      </c>
      <c r="J8" s="51" t="s">
        <v>188</v>
      </c>
      <c r="K8" s="51" t="s">
        <v>189</v>
      </c>
    </row>
    <row r="10" spans="2:11" x14ac:dyDescent="0.3">
      <c r="B10" t="str">
        <f>'Beta- Comps'!C3</f>
        <v>Century Plyboard</v>
      </c>
      <c r="D10" s="49" t="s">
        <v>190</v>
      </c>
      <c r="E10">
        <f>'Beta- Comps'!D3</f>
        <v>1643.25</v>
      </c>
      <c r="F10">
        <f>'Beta- Comps'!F3</f>
        <v>16428.580000000002</v>
      </c>
      <c r="G10" s="76">
        <v>0.3</v>
      </c>
      <c r="H10" s="42">
        <f>'Beta- Comps'!E3</f>
        <v>0.67</v>
      </c>
      <c r="I10" s="70">
        <f>E10/F10</f>
        <v>0.10002386085711606</v>
      </c>
      <c r="J10">
        <f>'Beta- Comps'!G3</f>
        <v>1.61</v>
      </c>
      <c r="K10" s="70">
        <f>J10/(1+(1-G10)*H10)</f>
        <v>1.0959836623553438</v>
      </c>
    </row>
    <row r="11" spans="2:11" x14ac:dyDescent="0.3">
      <c r="B11" t="str">
        <f>'Beta- Comps'!C4</f>
        <v>Greenlam Industr</v>
      </c>
      <c r="D11" s="49" t="s">
        <v>190</v>
      </c>
      <c r="E11">
        <f>'Beta- Comps'!D4</f>
        <v>1171.06</v>
      </c>
      <c r="F11">
        <f>'Beta- Comps'!F4</f>
        <v>6378.69</v>
      </c>
      <c r="G11" s="76">
        <v>0.3</v>
      </c>
      <c r="H11" s="42">
        <f>'Beta- Comps'!E4</f>
        <v>1.03</v>
      </c>
      <c r="I11" s="70">
        <f t="shared" ref="I11:I14" si="0">E11/F11</f>
        <v>0.18358942039823223</v>
      </c>
      <c r="J11">
        <f>'Beta- Comps'!G4</f>
        <v>0.63</v>
      </c>
      <c r="K11" s="70">
        <f>J11/(1+(1-G11)*H11)</f>
        <v>0.36606624055781523</v>
      </c>
    </row>
    <row r="12" spans="2:11" x14ac:dyDescent="0.3">
      <c r="B12" t="str">
        <f>'Beta- Comps'!C5</f>
        <v>Stylam Industrie</v>
      </c>
      <c r="D12" s="49" t="s">
        <v>190</v>
      </c>
      <c r="E12">
        <f>'Beta- Comps'!D5</f>
        <v>0</v>
      </c>
      <c r="F12">
        <f>'Beta- Comps'!F5</f>
        <v>3688.41</v>
      </c>
      <c r="G12" s="76">
        <v>0.3</v>
      </c>
      <c r="H12" s="70">
        <f>'Beta- Comps'!E5</f>
        <v>0</v>
      </c>
      <c r="I12" s="70">
        <f t="shared" si="0"/>
        <v>0</v>
      </c>
      <c r="J12" s="67">
        <f>'Beta- Comps'!G5</f>
        <v>0.76064797443239973</v>
      </c>
      <c r="K12" s="70">
        <f>J12*(1+(1-G12)*H12)</f>
        <v>0.76064797443239973</v>
      </c>
    </row>
    <row r="13" spans="2:11" x14ac:dyDescent="0.3">
      <c r="B13" t="str">
        <f>'Beta- Comps'!C6</f>
        <v>Greenply Industr</v>
      </c>
      <c r="D13" s="49" t="s">
        <v>190</v>
      </c>
      <c r="E13">
        <f>'Beta- Comps'!D6</f>
        <v>542.29999999999995</v>
      </c>
      <c r="F13">
        <f>'Beta- Comps'!F6</f>
        <v>2721.93</v>
      </c>
      <c r="G13" s="76">
        <v>0.3</v>
      </c>
      <c r="H13" s="42">
        <f>'Beta- Comps'!E6</f>
        <v>0.64</v>
      </c>
      <c r="I13" s="70">
        <f t="shared" si="0"/>
        <v>0.19923363201845748</v>
      </c>
      <c r="J13">
        <f>'Beta- Comps'!G6</f>
        <v>1.33</v>
      </c>
      <c r="K13" s="70">
        <f>J13/(1+(1-G13)*H13)</f>
        <v>0.91850828729281775</v>
      </c>
    </row>
    <row r="14" spans="2:11" x14ac:dyDescent="0.3">
      <c r="B14" t="str">
        <f>'Beta- Comps'!C7</f>
        <v>Greenpanel Inds.</v>
      </c>
      <c r="D14" s="49" t="s">
        <v>190</v>
      </c>
      <c r="E14">
        <f>'Beta- Comps'!D7</f>
        <v>412.63</v>
      </c>
      <c r="F14">
        <f>'Beta- Comps'!F7</f>
        <v>2577.0100000000002</v>
      </c>
      <c r="G14" s="76">
        <v>0.3</v>
      </c>
      <c r="H14" s="42">
        <f>'Beta- Comps'!E7</f>
        <v>0.3</v>
      </c>
      <c r="I14" s="70">
        <f t="shared" si="0"/>
        <v>0.16011967357518983</v>
      </c>
      <c r="J14">
        <v>1.21</v>
      </c>
      <c r="K14" s="70">
        <f>J14/(1+(1-G14)*H14)</f>
        <v>1</v>
      </c>
    </row>
    <row r="15" spans="2:11" x14ac:dyDescent="0.3">
      <c r="D15" s="49"/>
      <c r="G15" s="54"/>
    </row>
    <row r="16" spans="2:11" x14ac:dyDescent="0.3">
      <c r="G16" s="50" t="s">
        <v>191</v>
      </c>
      <c r="H16" s="78">
        <f t="shared" ref="H16:K16" si="1">MEDIAN(H9:H13)</f>
        <v>0.65500000000000003</v>
      </c>
      <c r="I16" s="78">
        <f t="shared" si="1"/>
        <v>0.14180664062767415</v>
      </c>
      <c r="J16" s="78">
        <f t="shared" si="1"/>
        <v>1.0453239872161999</v>
      </c>
      <c r="K16" s="78">
        <f t="shared" si="1"/>
        <v>0.83957813086260868</v>
      </c>
    </row>
    <row r="17" spans="2:12" x14ac:dyDescent="0.3">
      <c r="G17" s="48" t="s">
        <v>150</v>
      </c>
      <c r="H17" s="48">
        <f>MEDIAN(H10:H14)</f>
        <v>0.64</v>
      </c>
      <c r="I17" s="77">
        <f t="shared" ref="I17:K17" si="2">MEDIAN(I10:I14)</f>
        <v>0.16011967357518983</v>
      </c>
      <c r="J17" s="77">
        <f t="shared" si="2"/>
        <v>1.21</v>
      </c>
      <c r="K17" s="77">
        <f t="shared" si="2"/>
        <v>0.91850828729281775</v>
      </c>
    </row>
    <row r="20" spans="2:12" x14ac:dyDescent="0.3">
      <c r="B20" s="52" t="s">
        <v>192</v>
      </c>
      <c r="C20" s="48"/>
      <c r="D20" s="48"/>
      <c r="E20" s="48"/>
      <c r="G20" s="52" t="s">
        <v>196</v>
      </c>
      <c r="H20" s="48"/>
      <c r="I20" s="48"/>
      <c r="J20" s="48"/>
      <c r="K20" s="48"/>
    </row>
    <row r="22" spans="2:12" x14ac:dyDescent="0.3">
      <c r="B22" t="s">
        <v>193</v>
      </c>
      <c r="E22" s="86">
        <v>0</v>
      </c>
      <c r="G22" t="s">
        <v>197</v>
      </c>
      <c r="K22" s="83">
        <v>5.96E-2</v>
      </c>
      <c r="L22" s="8" t="s">
        <v>333</v>
      </c>
    </row>
    <row r="23" spans="2:12" x14ac:dyDescent="0.3">
      <c r="B23" t="s">
        <v>194</v>
      </c>
      <c r="E23" s="86">
        <v>0</v>
      </c>
      <c r="G23" t="s">
        <v>198</v>
      </c>
      <c r="K23" s="28">
        <f>Rm!H7-WACC!K22</f>
        <v>0.10469230769230771</v>
      </c>
    </row>
    <row r="24" spans="2:12" ht="16.2" x14ac:dyDescent="0.3">
      <c r="B24" s="30" t="s">
        <v>195</v>
      </c>
      <c r="C24" s="30"/>
      <c r="D24" s="30"/>
      <c r="E24" s="87">
        <v>0</v>
      </c>
      <c r="G24" t="s">
        <v>199</v>
      </c>
      <c r="K24" s="67">
        <f>K32</f>
        <v>1.0247493822990248</v>
      </c>
    </row>
    <row r="25" spans="2:12" x14ac:dyDescent="0.3">
      <c r="G25" s="85" t="s">
        <v>196</v>
      </c>
      <c r="H25" s="30"/>
      <c r="I25" s="30"/>
      <c r="J25" s="30"/>
      <c r="K25" s="89">
        <f>K22+K23*K24</f>
        <v>0.16688337763915179</v>
      </c>
    </row>
    <row r="27" spans="2:12" x14ac:dyDescent="0.3">
      <c r="B27" s="52" t="s">
        <v>200</v>
      </c>
      <c r="C27" s="48"/>
      <c r="D27" s="48"/>
      <c r="E27" s="48"/>
      <c r="G27" s="52" t="s">
        <v>204</v>
      </c>
      <c r="H27" s="48"/>
      <c r="I27" s="48"/>
      <c r="J27" s="48"/>
      <c r="K27" s="48"/>
    </row>
    <row r="29" spans="2:12" x14ac:dyDescent="0.3">
      <c r="D29" s="52" t="s">
        <v>201</v>
      </c>
      <c r="E29" s="52" t="s">
        <v>202</v>
      </c>
      <c r="G29" t="s">
        <v>205</v>
      </c>
      <c r="K29" s="67">
        <f>K17</f>
        <v>0.91850828729281775</v>
      </c>
    </row>
    <row r="30" spans="2:12" x14ac:dyDescent="0.3">
      <c r="B30" t="s">
        <v>181</v>
      </c>
      <c r="C30">
        <f>E12</f>
        <v>0</v>
      </c>
      <c r="D30" s="53">
        <f>C30/$C$32</f>
        <v>0</v>
      </c>
      <c r="E30" s="55">
        <f>I16</f>
        <v>0.14180664062767415</v>
      </c>
      <c r="G30" t="s">
        <v>206</v>
      </c>
      <c r="K30" s="67">
        <f>E34</f>
        <v>0.16523856666915965</v>
      </c>
    </row>
    <row r="31" spans="2:12" x14ac:dyDescent="0.3">
      <c r="B31" t="s">
        <v>9</v>
      </c>
      <c r="C31">
        <f>F12</f>
        <v>3688.41</v>
      </c>
      <c r="D31" s="53">
        <f>C31/$C$32</f>
        <v>1</v>
      </c>
      <c r="E31" s="54">
        <f>E32-E30</f>
        <v>0.85819335937232588</v>
      </c>
      <c r="G31" t="s">
        <v>194</v>
      </c>
      <c r="K31" s="28">
        <f>G12</f>
        <v>0.3</v>
      </c>
    </row>
    <row r="32" spans="2:12" x14ac:dyDescent="0.3">
      <c r="B32" s="30" t="s">
        <v>203</v>
      </c>
      <c r="C32" s="30">
        <f>SUM(C30:C31)</f>
        <v>3688.41</v>
      </c>
      <c r="D32" s="56">
        <f>C32/$C$32</f>
        <v>1</v>
      </c>
      <c r="E32" s="56">
        <v>1</v>
      </c>
      <c r="G32" s="30" t="s">
        <v>204</v>
      </c>
      <c r="H32" s="30"/>
      <c r="I32" s="30"/>
      <c r="J32" s="30"/>
      <c r="K32" s="82">
        <f>K29*(1+(1-K31)*K30)</f>
        <v>1.0247493822990248</v>
      </c>
    </row>
    <row r="34" spans="2:11" x14ac:dyDescent="0.3">
      <c r="B34" t="s">
        <v>207</v>
      </c>
      <c r="D34" s="80">
        <f>D30/D31</f>
        <v>0</v>
      </c>
      <c r="E34" s="81">
        <f>E30/E31</f>
        <v>0.16523856666915965</v>
      </c>
      <c r="G34" s="52" t="s">
        <v>208</v>
      </c>
      <c r="H34" s="52"/>
      <c r="I34" s="52"/>
      <c r="J34" s="52"/>
      <c r="K34" s="52"/>
    </row>
    <row r="36" spans="2:11" x14ac:dyDescent="0.3">
      <c r="G36" t="s">
        <v>196</v>
      </c>
      <c r="K36" s="28">
        <f>K25</f>
        <v>0.16688337763915179</v>
      </c>
    </row>
    <row r="37" spans="2:11" x14ac:dyDescent="0.3">
      <c r="G37" t="s">
        <v>245</v>
      </c>
      <c r="K37" s="54">
        <f>E31</f>
        <v>0.85819335937232588</v>
      </c>
    </row>
    <row r="39" spans="2:11" x14ac:dyDescent="0.3">
      <c r="B39" s="57" t="s">
        <v>209</v>
      </c>
      <c r="F39" s="17"/>
      <c r="G39" s="17" t="s">
        <v>246</v>
      </c>
      <c r="H39" s="17"/>
      <c r="I39" s="17"/>
      <c r="J39" s="17"/>
      <c r="K39" s="88">
        <f>E24</f>
        <v>0</v>
      </c>
    </row>
    <row r="40" spans="2:11" x14ac:dyDescent="0.3">
      <c r="B40" s="58" t="s">
        <v>210</v>
      </c>
      <c r="C40" s="59"/>
      <c r="D40" s="59"/>
      <c r="G40" t="s">
        <v>247</v>
      </c>
      <c r="K40" s="54">
        <f>E30</f>
        <v>0.14180664062767415</v>
      </c>
    </row>
    <row r="41" spans="2:11" x14ac:dyDescent="0.3">
      <c r="B41" s="58" t="s">
        <v>211</v>
      </c>
      <c r="C41" s="59"/>
      <c r="D41" s="59"/>
    </row>
    <row r="42" spans="2:11" x14ac:dyDescent="0.3">
      <c r="B42" s="58" t="s">
        <v>212</v>
      </c>
      <c r="C42" s="59"/>
      <c r="D42" s="59"/>
      <c r="G42" s="64" t="s">
        <v>248</v>
      </c>
      <c r="H42" s="90"/>
      <c r="I42" s="90"/>
      <c r="J42" s="90"/>
      <c r="K42" s="84">
        <f>(K36*K37)+(K39*K40)</f>
        <v>0.14321820647954417</v>
      </c>
    </row>
    <row r="43" spans="2:11" x14ac:dyDescent="0.3">
      <c r="B43" s="58" t="s">
        <v>213</v>
      </c>
      <c r="C43" s="59"/>
      <c r="D43" s="59"/>
    </row>
  </sheetData>
  <mergeCells count="1">
    <mergeCell ref="B2:K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F5B4-78AF-4373-B682-6184CEE409FC}">
  <dimension ref="A2:I64"/>
  <sheetViews>
    <sheetView showGridLines="0" topLeftCell="A30" workbookViewId="0">
      <selection activeCell="D32" sqref="D32"/>
    </sheetView>
  </sheetViews>
  <sheetFormatPr defaultRowHeight="14.4" x14ac:dyDescent="0.3"/>
  <cols>
    <col min="1" max="1" width="1.88671875" customWidth="1"/>
    <col min="2" max="2" width="35.6640625" bestFit="1" customWidth="1"/>
    <col min="4" max="4" width="16.5546875" customWidth="1"/>
    <col min="5" max="5" width="10.21875" customWidth="1"/>
  </cols>
  <sheetData>
    <row r="2" spans="2:9" x14ac:dyDescent="0.3">
      <c r="B2" s="64" t="str">
        <f>"Calculaation of ROIC - "&amp;DataSheet!B1</f>
        <v>Calculaation of ROIC - STYLAM INDUSTRIES LTD</v>
      </c>
      <c r="C2" s="108"/>
      <c r="D2" s="115">
        <f>'Data Room'!I3</f>
        <v>44256</v>
      </c>
      <c r="E2" s="115">
        <f>'Data Room'!J3</f>
        <v>44621</v>
      </c>
      <c r="F2" s="115">
        <f>'Data Room'!K3</f>
        <v>44986</v>
      </c>
      <c r="G2" s="115">
        <f>'Data Room'!L3</f>
        <v>45352</v>
      </c>
      <c r="H2" s="115">
        <f>'Data Room'!M3</f>
        <v>45717</v>
      </c>
      <c r="I2" s="133"/>
    </row>
    <row r="5" spans="2:9" x14ac:dyDescent="0.3">
      <c r="B5" s="8" t="s">
        <v>279</v>
      </c>
    </row>
    <row r="6" spans="2:9" x14ac:dyDescent="0.3">
      <c r="B6" s="124" t="s">
        <v>41</v>
      </c>
      <c r="C6" s="124"/>
      <c r="D6" s="125">
        <f>'Data Room'!I33</f>
        <v>67</v>
      </c>
      <c r="E6" s="125">
        <f>'Data Room'!J33</f>
        <v>72</v>
      </c>
      <c r="F6" s="125">
        <f>'Data Room'!K33</f>
        <v>133</v>
      </c>
      <c r="G6" s="125">
        <f>'Data Room'!L33</f>
        <v>160</v>
      </c>
      <c r="H6" s="125">
        <f>'Data Room'!M33</f>
        <v>145</v>
      </c>
    </row>
    <row r="7" spans="2:9" x14ac:dyDescent="0.3">
      <c r="B7" s="124" t="s">
        <v>280</v>
      </c>
      <c r="C7" s="124"/>
      <c r="D7" s="125">
        <f>'Data Room'!I34</f>
        <v>87</v>
      </c>
      <c r="E7" s="125">
        <f>'Data Room'!J34</f>
        <v>99</v>
      </c>
      <c r="F7" s="125">
        <f>'Data Room'!K34</f>
        <v>119</v>
      </c>
      <c r="G7" s="125">
        <f>'Data Room'!L34</f>
        <v>126</v>
      </c>
      <c r="H7" s="125">
        <f>'Data Room'!M34</f>
        <v>161</v>
      </c>
    </row>
    <row r="8" spans="2:9" x14ac:dyDescent="0.3">
      <c r="B8" s="124" t="s">
        <v>276</v>
      </c>
      <c r="C8" s="124"/>
      <c r="D8" s="125">
        <f>'Data Room'!I36</f>
        <v>4</v>
      </c>
      <c r="E8" s="125">
        <f>'Data Room'!J36</f>
        <v>4</v>
      </c>
      <c r="F8" s="125">
        <f>'Data Room'!K36</f>
        <v>18</v>
      </c>
      <c r="G8" s="125">
        <f>'Data Room'!L36</f>
        <v>14</v>
      </c>
      <c r="H8" s="125">
        <f>'Data Room'!M36</f>
        <v>13</v>
      </c>
    </row>
    <row r="9" spans="2:9" x14ac:dyDescent="0.3">
      <c r="B9" s="126" t="s">
        <v>277</v>
      </c>
      <c r="C9" s="126"/>
      <c r="D9" s="127">
        <f>'Data Room'!I37</f>
        <v>24</v>
      </c>
      <c r="E9" s="127">
        <f>'Data Room'!J37</f>
        <v>28</v>
      </c>
      <c r="F9" s="127">
        <f>'Data Room'!K37</f>
        <v>31</v>
      </c>
      <c r="G9" s="127">
        <f>'Data Room'!L37</f>
        <v>26</v>
      </c>
      <c r="H9" s="127">
        <f>'Data Room'!M37</f>
        <v>36</v>
      </c>
    </row>
    <row r="10" spans="2:9" x14ac:dyDescent="0.3">
      <c r="B10" s="111" t="s">
        <v>281</v>
      </c>
      <c r="C10" s="112"/>
      <c r="D10" s="119">
        <f>SUM(D6:D9)</f>
        <v>182</v>
      </c>
      <c r="E10" s="119">
        <f t="shared" ref="E10:H10" si="0">SUM(E6:E9)</f>
        <v>203</v>
      </c>
      <c r="F10" s="119">
        <f t="shared" si="0"/>
        <v>301</v>
      </c>
      <c r="G10" s="119">
        <f t="shared" si="0"/>
        <v>326</v>
      </c>
      <c r="H10" s="119">
        <f t="shared" si="0"/>
        <v>355</v>
      </c>
    </row>
    <row r="12" spans="2:9" x14ac:dyDescent="0.3">
      <c r="B12" s="124" t="s">
        <v>282</v>
      </c>
      <c r="C12" s="124"/>
      <c r="D12" s="124"/>
      <c r="E12" s="124"/>
      <c r="F12" s="124"/>
      <c r="G12" s="124"/>
      <c r="H12" s="124"/>
    </row>
    <row r="13" spans="2:9" x14ac:dyDescent="0.3">
      <c r="B13" s="124" t="s">
        <v>256</v>
      </c>
      <c r="C13" s="124"/>
      <c r="D13" s="125">
        <f>'Data Room'!I11</f>
        <v>36</v>
      </c>
      <c r="E13" s="125">
        <f>'Data Room'!J11</f>
        <v>51</v>
      </c>
      <c r="F13" s="125">
        <f>'Data Room'!K11</f>
        <v>58</v>
      </c>
      <c r="G13" s="125">
        <f>'Data Room'!L11</f>
        <v>40</v>
      </c>
      <c r="H13" s="125">
        <f>'Data Room'!M11</f>
        <v>38</v>
      </c>
    </row>
    <row r="14" spans="2:9" x14ac:dyDescent="0.3">
      <c r="B14" s="124" t="s">
        <v>257</v>
      </c>
      <c r="C14" s="124"/>
      <c r="D14" s="125">
        <f>'Data Room'!I12</f>
        <v>5</v>
      </c>
      <c r="E14" s="125">
        <f>'Data Room'!J12</f>
        <v>4</v>
      </c>
      <c r="F14" s="125">
        <f>'Data Room'!K12</f>
        <v>9</v>
      </c>
      <c r="G14" s="125">
        <f>'Data Room'!L12</f>
        <v>4</v>
      </c>
      <c r="H14" s="125">
        <f>'Data Room'!M12</f>
        <v>5</v>
      </c>
    </row>
    <row r="15" spans="2:9" x14ac:dyDescent="0.3">
      <c r="B15" s="126" t="s">
        <v>258</v>
      </c>
      <c r="C15" s="126"/>
      <c r="D15" s="127">
        <f>'Data Room'!I13</f>
        <v>33</v>
      </c>
      <c r="E15" s="127">
        <f>'Data Room'!J13</f>
        <v>33</v>
      </c>
      <c r="F15" s="127">
        <f>'Data Room'!K13</f>
        <v>27</v>
      </c>
      <c r="G15" s="127">
        <f>'Data Room'!L13</f>
        <v>35</v>
      </c>
      <c r="H15" s="127">
        <f>'Data Room'!M13</f>
        <v>27</v>
      </c>
    </row>
    <row r="16" spans="2:9" x14ac:dyDescent="0.3">
      <c r="B16" s="111" t="s">
        <v>283</v>
      </c>
      <c r="C16" s="112"/>
      <c r="D16" s="119">
        <f>SUM(D13:D15)</f>
        <v>74</v>
      </c>
      <c r="E16" s="119">
        <f t="shared" ref="E16:H16" si="1">SUM(E13:E15)</f>
        <v>88</v>
      </c>
      <c r="F16" s="119">
        <f t="shared" si="1"/>
        <v>94</v>
      </c>
      <c r="G16" s="119">
        <f t="shared" si="1"/>
        <v>79</v>
      </c>
      <c r="H16" s="119">
        <f t="shared" si="1"/>
        <v>70</v>
      </c>
    </row>
    <row r="17" spans="1:8" x14ac:dyDescent="0.3">
      <c r="D17" s="118"/>
      <c r="E17" s="118"/>
      <c r="F17" s="118"/>
      <c r="G17" s="118"/>
      <c r="H17" s="118"/>
    </row>
    <row r="18" spans="1:8" ht="15" thickBot="1" x14ac:dyDescent="0.35">
      <c r="A18" t="s">
        <v>80</v>
      </c>
      <c r="B18" s="113" t="s">
        <v>284</v>
      </c>
      <c r="C18" s="114"/>
      <c r="D18" s="120">
        <f>D10-D16</f>
        <v>108</v>
      </c>
      <c r="E18" s="120">
        <f t="shared" ref="E18:H18" si="2">E10-E16</f>
        <v>115</v>
      </c>
      <c r="F18" s="120">
        <f t="shared" si="2"/>
        <v>207</v>
      </c>
      <c r="G18" s="120">
        <f t="shared" si="2"/>
        <v>247</v>
      </c>
      <c r="H18" s="120">
        <f t="shared" si="2"/>
        <v>285</v>
      </c>
    </row>
    <row r="20" spans="1:8" x14ac:dyDescent="0.3">
      <c r="B20" s="8" t="s">
        <v>285</v>
      </c>
    </row>
    <row r="21" spans="1:8" x14ac:dyDescent="0.3">
      <c r="B21" s="124" t="s">
        <v>260</v>
      </c>
      <c r="C21" s="124"/>
      <c r="D21" s="125">
        <f>'Data Room'!I17</f>
        <v>20.149999999999999</v>
      </c>
      <c r="E21" s="125">
        <f>'Data Room'!J17</f>
        <v>20.149999999999999</v>
      </c>
      <c r="F21" s="125">
        <f>'Data Room'!K17</f>
        <v>26.09</v>
      </c>
      <c r="G21" s="125">
        <f>'Data Room'!L17</f>
        <v>26.3</v>
      </c>
      <c r="H21" s="125">
        <f>'Data Room'!M17</f>
        <v>25.94</v>
      </c>
    </row>
    <row r="22" spans="1:8" x14ac:dyDescent="0.3">
      <c r="B22" s="124" t="s">
        <v>261</v>
      </c>
      <c r="C22" s="124"/>
      <c r="D22" s="125">
        <f>'Data Room'!I18</f>
        <v>50.99</v>
      </c>
      <c r="E22" s="125">
        <f>'Data Room'!J18</f>
        <v>50.99</v>
      </c>
      <c r="F22" s="125">
        <f>'Data Room'!K18</f>
        <v>50.99</v>
      </c>
      <c r="G22" s="125">
        <f>'Data Room'!L18</f>
        <v>50.99</v>
      </c>
      <c r="H22" s="125">
        <f>'Data Room'!M18</f>
        <v>51.28</v>
      </c>
    </row>
    <row r="23" spans="1:8" x14ac:dyDescent="0.3">
      <c r="B23" s="124" t="s">
        <v>262</v>
      </c>
      <c r="C23" s="124"/>
      <c r="D23" s="125">
        <f>'Data Room'!I19</f>
        <v>182.65</v>
      </c>
      <c r="E23" s="125">
        <f>'Data Room'!J19</f>
        <v>196.08</v>
      </c>
      <c r="F23" s="125">
        <f>'Data Room'!K19</f>
        <v>201.67</v>
      </c>
      <c r="G23" s="125">
        <f>'Data Room'!L19</f>
        <v>213.13</v>
      </c>
      <c r="H23" s="125">
        <f>'Data Room'!M19</f>
        <v>237.58</v>
      </c>
    </row>
    <row r="24" spans="1:8" x14ac:dyDescent="0.3">
      <c r="B24" s="124" t="s">
        <v>263</v>
      </c>
      <c r="C24" s="124"/>
      <c r="D24" s="125">
        <f>'Data Room'!I20</f>
        <v>11.41</v>
      </c>
      <c r="E24" s="125">
        <f>'Data Room'!J20</f>
        <v>11.43</v>
      </c>
      <c r="F24" s="125">
        <f>'Data Room'!K20</f>
        <v>11.56</v>
      </c>
      <c r="G24" s="125">
        <f>'Data Room'!L20</f>
        <v>11.59</v>
      </c>
      <c r="H24" s="125">
        <f>'Data Room'!M20</f>
        <v>11.7</v>
      </c>
    </row>
    <row r="25" spans="1:8" x14ac:dyDescent="0.3">
      <c r="B25" s="124" t="s">
        <v>264</v>
      </c>
      <c r="C25" s="124"/>
      <c r="D25" s="125">
        <f>'Data Room'!I21</f>
        <v>2.02</v>
      </c>
      <c r="E25" s="125">
        <f>'Data Room'!J21</f>
        <v>2.14</v>
      </c>
      <c r="F25" s="125">
        <f>'Data Room'!K21</f>
        <v>2.2799999999999998</v>
      </c>
      <c r="G25" s="125">
        <f>'Data Room'!L21</f>
        <v>2.4300000000000002</v>
      </c>
      <c r="H25" s="125">
        <f>'Data Room'!M21</f>
        <v>2.56</v>
      </c>
    </row>
    <row r="26" spans="1:8" x14ac:dyDescent="0.3">
      <c r="B26" s="124" t="s">
        <v>265</v>
      </c>
      <c r="C26" s="124"/>
      <c r="D26" s="125">
        <f>'Data Room'!I22</f>
        <v>2.83</v>
      </c>
      <c r="E26" s="125">
        <f>'Data Room'!J22</f>
        <v>2.83</v>
      </c>
      <c r="F26" s="125">
        <f>'Data Room'!K22</f>
        <v>2.87</v>
      </c>
      <c r="G26" s="125">
        <f>'Data Room'!L22</f>
        <v>3.1</v>
      </c>
      <c r="H26" s="125">
        <f>'Data Room'!M22</f>
        <v>3.18</v>
      </c>
    </row>
    <row r="27" spans="1:8" x14ac:dyDescent="0.3">
      <c r="B27" s="124" t="s">
        <v>266</v>
      </c>
      <c r="C27" s="124"/>
      <c r="D27" s="125">
        <f>'Data Room'!I23</f>
        <v>8.3000000000000007</v>
      </c>
      <c r="E27" s="125">
        <f>'Data Room'!J23</f>
        <v>8.2100000000000009</v>
      </c>
      <c r="F27" s="125">
        <f>'Data Room'!K23</f>
        <v>8.6300000000000008</v>
      </c>
      <c r="G27" s="125">
        <f>'Data Room'!L23</f>
        <v>9.36</v>
      </c>
      <c r="H27" s="125">
        <f>'Data Room'!M23</f>
        <v>9.0500000000000007</v>
      </c>
    </row>
    <row r="28" spans="1:8" x14ac:dyDescent="0.3">
      <c r="B28" s="124" t="s">
        <v>267</v>
      </c>
      <c r="C28" s="124"/>
      <c r="D28" s="125">
        <f>'Data Room'!I24</f>
        <v>0</v>
      </c>
      <c r="E28" s="125">
        <f>'Data Room'!J24</f>
        <v>0</v>
      </c>
      <c r="F28" s="125">
        <f>'Data Room'!K24</f>
        <v>0</v>
      </c>
      <c r="G28" s="125">
        <f>'Data Room'!L24</f>
        <v>0</v>
      </c>
      <c r="H28" s="125">
        <f>'Data Room'!M24</f>
        <v>0</v>
      </c>
    </row>
    <row r="29" spans="1:8" x14ac:dyDescent="0.3">
      <c r="B29" s="126" t="s">
        <v>268</v>
      </c>
      <c r="C29" s="126"/>
      <c r="D29" s="127">
        <f>'Data Room'!I25</f>
        <v>4.76</v>
      </c>
      <c r="E29" s="127">
        <f>'Data Room'!J25</f>
        <v>4.75</v>
      </c>
      <c r="F29" s="127">
        <f>'Data Room'!K25</f>
        <v>5.88</v>
      </c>
      <c r="G29" s="127">
        <f>'Data Room'!L25</f>
        <v>5.87</v>
      </c>
      <c r="H29" s="127">
        <f>'Data Room'!M25</f>
        <v>5.95</v>
      </c>
    </row>
    <row r="30" spans="1:8" x14ac:dyDescent="0.3">
      <c r="B30" s="111" t="s">
        <v>269</v>
      </c>
      <c r="C30" s="112"/>
      <c r="D30" s="122">
        <f>SUM(D21:D29)</f>
        <v>283.11</v>
      </c>
      <c r="E30" s="122">
        <f t="shared" ref="E30:H30" si="3">SUM(E21:E29)</f>
        <v>296.58</v>
      </c>
      <c r="F30" s="122">
        <f t="shared" si="3"/>
        <v>309.96999999999997</v>
      </c>
      <c r="G30" s="122">
        <f t="shared" si="3"/>
        <v>322.77000000000004</v>
      </c>
      <c r="H30" s="122">
        <f t="shared" si="3"/>
        <v>347.24</v>
      </c>
    </row>
    <row r="31" spans="1:8" x14ac:dyDescent="0.3">
      <c r="B31" t="s">
        <v>270</v>
      </c>
      <c r="D31" s="118">
        <f>-'Data Room'!I28</f>
        <v>-88.15</v>
      </c>
      <c r="E31" s="118">
        <f>-'Data Room'!J28</f>
        <v>-108.76</v>
      </c>
      <c r="F31" s="118">
        <f>-'Data Room'!K28</f>
        <v>-131.24</v>
      </c>
      <c r="G31" s="118">
        <f>-'Data Room'!L28</f>
        <v>-150.97999999999999</v>
      </c>
      <c r="H31" s="118">
        <f>-'Data Room'!M28</f>
        <v>-172.2</v>
      </c>
    </row>
    <row r="32" spans="1:8" ht="15" thickBot="1" x14ac:dyDescent="0.35">
      <c r="A32" t="s">
        <v>80</v>
      </c>
      <c r="B32" s="113" t="s">
        <v>286</v>
      </c>
      <c r="C32" s="114"/>
      <c r="D32" s="123">
        <f>SUM(D30:D31)</f>
        <v>194.96</v>
      </c>
      <c r="E32" s="123">
        <f t="shared" ref="E32:H32" si="4">SUM(E30:E31)</f>
        <v>187.82</v>
      </c>
      <c r="F32" s="123">
        <f t="shared" si="4"/>
        <v>178.72999999999996</v>
      </c>
      <c r="G32" s="123">
        <f t="shared" si="4"/>
        <v>171.79000000000005</v>
      </c>
      <c r="H32" s="123">
        <f t="shared" si="4"/>
        <v>175.04000000000002</v>
      </c>
    </row>
    <row r="34" spans="1:8" x14ac:dyDescent="0.3">
      <c r="A34" t="s">
        <v>80</v>
      </c>
      <c r="B34" s="134" t="s">
        <v>287</v>
      </c>
      <c r="C34" s="135"/>
      <c r="D34" s="136">
        <f>D32+D18</f>
        <v>302.96000000000004</v>
      </c>
      <c r="E34" s="136">
        <f t="shared" ref="E34:H34" si="5">E32+E18</f>
        <v>302.82</v>
      </c>
      <c r="F34" s="136">
        <f t="shared" si="5"/>
        <v>385.72999999999996</v>
      </c>
      <c r="G34" s="136">
        <f t="shared" si="5"/>
        <v>418.79000000000008</v>
      </c>
      <c r="H34" s="136">
        <f t="shared" si="5"/>
        <v>460.04</v>
      </c>
    </row>
    <row r="35" spans="1:8" x14ac:dyDescent="0.3">
      <c r="B35" s="30" t="s">
        <v>288</v>
      </c>
      <c r="C35" s="30"/>
      <c r="D35" s="137">
        <f>Historical_FS!H24</f>
        <v>75.959999999999951</v>
      </c>
      <c r="E35" s="137">
        <f>Historical_FS!I24</f>
        <v>80.379999999999981</v>
      </c>
      <c r="F35" s="137">
        <f>Historical_FS!J24</f>
        <v>134.82000000000002</v>
      </c>
      <c r="G35" s="137">
        <f>Historical_FS!K24</f>
        <v>161.9100000000002</v>
      </c>
      <c r="H35" s="137">
        <f>Historical_FS!L24</f>
        <v>161.5799999999999</v>
      </c>
    </row>
    <row r="37" spans="1:8" x14ac:dyDescent="0.3">
      <c r="A37" t="s">
        <v>80</v>
      </c>
      <c r="B37" s="85" t="s">
        <v>289</v>
      </c>
      <c r="C37" s="30"/>
      <c r="D37" s="138">
        <f>D35/D34</f>
        <v>0.25072616847108509</v>
      </c>
      <c r="E37" s="138">
        <f t="shared" ref="E37:H37" si="6">E35/E34</f>
        <v>0.26543821412059965</v>
      </c>
      <c r="F37" s="138">
        <f t="shared" si="6"/>
        <v>0.34951909366655443</v>
      </c>
      <c r="G37" s="138">
        <f t="shared" si="6"/>
        <v>0.38661381599369654</v>
      </c>
      <c r="H37" s="138">
        <f t="shared" si="6"/>
        <v>0.35123032779758256</v>
      </c>
    </row>
    <row r="40" spans="1:8" x14ac:dyDescent="0.3">
      <c r="B40" s="64" t="s">
        <v>290</v>
      </c>
      <c r="C40" s="64"/>
      <c r="D40" s="116">
        <f>D2</f>
        <v>44256</v>
      </c>
      <c r="E40" s="116">
        <f>E2</f>
        <v>44621</v>
      </c>
      <c r="F40" s="116">
        <f>F2</f>
        <v>44986</v>
      </c>
      <c r="G40" s="116">
        <f>G2</f>
        <v>45352</v>
      </c>
      <c r="H40" s="116">
        <f>H2</f>
        <v>45717</v>
      </c>
    </row>
    <row r="42" spans="1:8" x14ac:dyDescent="0.3">
      <c r="B42" s="124" t="s">
        <v>291</v>
      </c>
      <c r="C42" s="124"/>
      <c r="D42" s="125">
        <f>-SUM('Data Room'!I56:I57)</f>
        <v>24</v>
      </c>
      <c r="E42" s="125">
        <f>-SUM('Data Room'!J56:J57)</f>
        <v>6</v>
      </c>
      <c r="F42" s="125">
        <f>-SUM('Data Room'!K56:K57)</f>
        <v>13</v>
      </c>
      <c r="G42" s="125">
        <f>-SUM('Data Room'!L56:L57)</f>
        <v>26</v>
      </c>
      <c r="H42" s="125">
        <f>-SUM('Data Room'!M56:M57)</f>
        <v>14</v>
      </c>
    </row>
    <row r="43" spans="1:8" x14ac:dyDescent="0.3">
      <c r="B43" s="126" t="s">
        <v>297</v>
      </c>
      <c r="C43" s="126"/>
      <c r="D43" s="127"/>
      <c r="E43" s="127">
        <f>E18-D18</f>
        <v>7</v>
      </c>
      <c r="F43" s="127">
        <f>F18-E18</f>
        <v>92</v>
      </c>
      <c r="G43" s="127">
        <f t="shared" ref="G43:H43" si="7">G18-F18</f>
        <v>40</v>
      </c>
      <c r="H43" s="127">
        <f t="shared" si="7"/>
        <v>38</v>
      </c>
    </row>
    <row r="44" spans="1:8" x14ac:dyDescent="0.3">
      <c r="D44" s="118"/>
      <c r="E44" s="118"/>
      <c r="F44" s="118"/>
      <c r="G44" s="118"/>
      <c r="H44" s="118"/>
    </row>
    <row r="45" spans="1:8" x14ac:dyDescent="0.3">
      <c r="B45" s="124" t="s">
        <v>288</v>
      </c>
      <c r="C45" s="124"/>
      <c r="D45" s="125">
        <f>D35</f>
        <v>75.959999999999951</v>
      </c>
      <c r="E45" s="125">
        <f t="shared" ref="E45:H45" si="8">E35</f>
        <v>80.379999999999981</v>
      </c>
      <c r="F45" s="125">
        <f t="shared" si="8"/>
        <v>134.82000000000002</v>
      </c>
      <c r="G45" s="125">
        <f t="shared" si="8"/>
        <v>161.9100000000002</v>
      </c>
      <c r="H45" s="125">
        <f t="shared" si="8"/>
        <v>161.5799999999999</v>
      </c>
    </row>
    <row r="46" spans="1:8" x14ac:dyDescent="0.3">
      <c r="B46" s="124" t="s">
        <v>298</v>
      </c>
      <c r="C46" s="124"/>
      <c r="D46" s="128">
        <v>0.25</v>
      </c>
      <c r="E46" s="128">
        <v>0.25</v>
      </c>
      <c r="F46" s="128">
        <v>0.25</v>
      </c>
      <c r="G46" s="128">
        <v>0.25</v>
      </c>
      <c r="H46" s="128">
        <v>0.25</v>
      </c>
    </row>
    <row r="47" spans="1:8" x14ac:dyDescent="0.3">
      <c r="B47" s="126" t="s">
        <v>300</v>
      </c>
      <c r="C47" s="126"/>
      <c r="D47" s="127">
        <f>D45*(1-D46)</f>
        <v>56.969999999999963</v>
      </c>
      <c r="E47" s="127">
        <f t="shared" ref="E47:H47" si="9">E45*(1-E46)</f>
        <v>60.284999999999982</v>
      </c>
      <c r="F47" s="127">
        <f t="shared" si="9"/>
        <v>101.11500000000001</v>
      </c>
      <c r="G47" s="127">
        <f t="shared" si="9"/>
        <v>121.43250000000015</v>
      </c>
      <c r="H47" s="127">
        <f t="shared" si="9"/>
        <v>121.18499999999992</v>
      </c>
    </row>
    <row r="48" spans="1:8" x14ac:dyDescent="0.3">
      <c r="D48" s="118"/>
      <c r="E48" s="118"/>
      <c r="F48" s="118"/>
      <c r="G48" s="118"/>
      <c r="H48" s="118"/>
    </row>
    <row r="49" spans="2:9" x14ac:dyDescent="0.3">
      <c r="B49" s="126" t="s">
        <v>299</v>
      </c>
      <c r="C49" s="126"/>
      <c r="D49" s="127"/>
      <c r="E49" s="127">
        <f>SUM(E42:E43)</f>
        <v>13</v>
      </c>
      <c r="F49" s="127">
        <f t="shared" ref="F49:H49" si="10">SUM(F42:F43)</f>
        <v>105</v>
      </c>
      <c r="G49" s="127">
        <f t="shared" si="10"/>
        <v>66</v>
      </c>
      <c r="H49" s="127">
        <f t="shared" si="10"/>
        <v>52</v>
      </c>
    </row>
    <row r="51" spans="2:9" x14ac:dyDescent="0.3">
      <c r="B51" s="131" t="s">
        <v>301</v>
      </c>
      <c r="C51" s="131"/>
      <c r="D51" s="131"/>
      <c r="E51" s="139">
        <f>E49/E47</f>
        <v>0.21564236543087009</v>
      </c>
      <c r="F51" s="139">
        <f>F49/F47</f>
        <v>1.0384215991692627</v>
      </c>
      <c r="G51" s="139">
        <f>G49/G47</f>
        <v>0.54351182755851946</v>
      </c>
      <c r="H51" s="139">
        <f>H49/H47</f>
        <v>0.42909601023228977</v>
      </c>
      <c r="I51" s="63"/>
    </row>
    <row r="52" spans="2:9" x14ac:dyDescent="0.3">
      <c r="G52" t="s">
        <v>302</v>
      </c>
    </row>
    <row r="53" spans="2:9" x14ac:dyDescent="0.3">
      <c r="G53" s="140" t="s">
        <v>303</v>
      </c>
      <c r="H53" s="141"/>
      <c r="I53" s="142">
        <f>AVERAGE(E51:H51)</f>
        <v>0.55666795059773544</v>
      </c>
    </row>
    <row r="54" spans="2:9" x14ac:dyDescent="0.3">
      <c r="G54" s="143" t="s">
        <v>304</v>
      </c>
      <c r="H54" s="144"/>
      <c r="I54" s="145">
        <f>MEDIAN(E51:H51)</f>
        <v>0.48630391889540459</v>
      </c>
    </row>
    <row r="56" spans="2:9" x14ac:dyDescent="0.3">
      <c r="B56" s="64" t="s">
        <v>305</v>
      </c>
      <c r="C56" s="64"/>
      <c r="D56" s="116">
        <f>D40</f>
        <v>44256</v>
      </c>
      <c r="E56" s="116">
        <f t="shared" ref="E56:H56" si="11">E40</f>
        <v>44621</v>
      </c>
      <c r="F56" s="116">
        <f t="shared" si="11"/>
        <v>44986</v>
      </c>
      <c r="G56" s="116">
        <f t="shared" si="11"/>
        <v>45352</v>
      </c>
      <c r="H56" s="116">
        <f t="shared" si="11"/>
        <v>45717</v>
      </c>
    </row>
    <row r="58" spans="2:9" x14ac:dyDescent="0.3">
      <c r="B58" s="124" t="s">
        <v>306</v>
      </c>
      <c r="C58" s="124"/>
      <c r="D58" s="124"/>
      <c r="E58" s="129">
        <f>E51</f>
        <v>0.21564236543087009</v>
      </c>
      <c r="F58" s="129">
        <f t="shared" ref="F58:H58" si="12">F51</f>
        <v>1.0384215991692627</v>
      </c>
      <c r="G58" s="129">
        <f t="shared" si="12"/>
        <v>0.54351182755851946</v>
      </c>
      <c r="H58" s="129">
        <f t="shared" si="12"/>
        <v>0.42909601023228977</v>
      </c>
    </row>
    <row r="59" spans="2:9" x14ac:dyDescent="0.3">
      <c r="B59" s="126" t="s">
        <v>289</v>
      </c>
      <c r="C59" s="126"/>
      <c r="D59" s="126"/>
      <c r="E59" s="130">
        <f>E37</f>
        <v>0.26543821412059965</v>
      </c>
      <c r="F59" s="130">
        <f t="shared" ref="F59:H59" si="13">F37</f>
        <v>0.34951909366655443</v>
      </c>
      <c r="G59" s="130">
        <f t="shared" si="13"/>
        <v>0.38661381599369654</v>
      </c>
      <c r="H59" s="130">
        <f t="shared" si="13"/>
        <v>0.35123032779758256</v>
      </c>
    </row>
    <row r="61" spans="2:9" x14ac:dyDescent="0.3">
      <c r="B61" s="131" t="s">
        <v>307</v>
      </c>
      <c r="C61" s="131"/>
      <c r="D61" s="131"/>
      <c r="E61" s="132">
        <f>E58*E59</f>
        <v>5.7239724368711893E-2</v>
      </c>
      <c r="F61" s="132">
        <f t="shared" ref="F61:H61" si="14">F58*F59</f>
        <v>0.36294817618541475</v>
      </c>
      <c r="G61" s="132">
        <f t="shared" si="14"/>
        <v>0.21012918169010716</v>
      </c>
      <c r="H61" s="132">
        <f t="shared" si="14"/>
        <v>0.15071153233052198</v>
      </c>
    </row>
    <row r="62" spans="2:9" x14ac:dyDescent="0.3">
      <c r="E62" s="28"/>
    </row>
    <row r="63" spans="2:9" x14ac:dyDescent="0.3">
      <c r="G63" s="140" t="s">
        <v>303</v>
      </c>
      <c r="H63" s="141"/>
      <c r="I63" s="146">
        <f>AVERAGE(E61:H61)</f>
        <v>0.19525715364368895</v>
      </c>
    </row>
    <row r="64" spans="2:9" x14ac:dyDescent="0.3">
      <c r="G64" s="143" t="s">
        <v>308</v>
      </c>
      <c r="H64" s="144"/>
      <c r="I64" s="145">
        <f>MEDIAN(E61:H61)</f>
        <v>0.18042035701031456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030CE-8733-45EC-A18E-17D2BDE8AF30}">
  <dimension ref="B2:I40"/>
  <sheetViews>
    <sheetView showGridLines="0" topLeftCell="A16" workbookViewId="0">
      <selection activeCell="F35" sqref="F35"/>
    </sheetView>
  </sheetViews>
  <sheetFormatPr defaultRowHeight="14.4" outlineLevelRow="1" x14ac:dyDescent="0.3"/>
  <cols>
    <col min="1" max="1" width="1.88671875" customWidth="1"/>
    <col min="2" max="2" width="24.21875" customWidth="1"/>
    <col min="5" max="5" width="9.5546875" bestFit="1" customWidth="1"/>
    <col min="6" max="10" width="10.5546875" bestFit="1" customWidth="1"/>
  </cols>
  <sheetData>
    <row r="2" spans="2:9" x14ac:dyDescent="0.3">
      <c r="B2" s="108" t="s">
        <v>309</v>
      </c>
      <c r="C2" s="108"/>
      <c r="D2" s="147">
        <f>'Intrensic Growth'!H2</f>
        <v>45717</v>
      </c>
      <c r="E2" s="148">
        <f>D2+366</f>
        <v>46083</v>
      </c>
      <c r="F2" s="148">
        <f t="shared" ref="F2:I2" si="0">E2+366</f>
        <v>46449</v>
      </c>
      <c r="G2" s="148">
        <f t="shared" si="0"/>
        <v>46815</v>
      </c>
      <c r="H2" s="148">
        <f t="shared" si="0"/>
        <v>47181</v>
      </c>
      <c r="I2" s="148">
        <f t="shared" si="0"/>
        <v>47547</v>
      </c>
    </row>
    <row r="3" spans="2:9" x14ac:dyDescent="0.3">
      <c r="D3" s="149"/>
    </row>
    <row r="4" spans="2:9" x14ac:dyDescent="0.3">
      <c r="B4" s="124" t="s">
        <v>288</v>
      </c>
      <c r="C4" s="124"/>
      <c r="D4" s="151">
        <f>Historical_FS!L24</f>
        <v>161.5799999999999</v>
      </c>
      <c r="E4" s="152">
        <f>D4*(1+$D$14)</f>
        <v>190.7323212857265</v>
      </c>
      <c r="F4" s="152">
        <f>E4*(1+$D$14)</f>
        <v>225.14431478550327</v>
      </c>
      <c r="G4" s="152">
        <f>F4*(1+$D$14)</f>
        <v>265.76493243794641</v>
      </c>
      <c r="H4" s="152">
        <f>G4*(1+$D$14)</f>
        <v>313.71433642922278</v>
      </c>
      <c r="I4" s="152">
        <f>H4*(1+$D$14)</f>
        <v>370.31478900703706</v>
      </c>
    </row>
    <row r="5" spans="2:9" x14ac:dyDescent="0.3">
      <c r="B5" s="124" t="s">
        <v>194</v>
      </c>
      <c r="C5" s="124"/>
      <c r="D5" s="153">
        <v>0.25</v>
      </c>
      <c r="E5" s="154">
        <v>0.25</v>
      </c>
      <c r="F5" s="154">
        <v>0.25</v>
      </c>
      <c r="G5" s="154">
        <v>0.25</v>
      </c>
      <c r="H5" s="154">
        <v>0.25</v>
      </c>
      <c r="I5" s="154">
        <v>0.25</v>
      </c>
    </row>
    <row r="6" spans="2:9" x14ac:dyDescent="0.3">
      <c r="B6" s="124" t="s">
        <v>310</v>
      </c>
      <c r="C6" s="124"/>
      <c r="D6" s="155">
        <f t="shared" ref="D6:I6" si="1">D4*(1-D5)</f>
        <v>121.18499999999992</v>
      </c>
      <c r="E6" s="152">
        <f t="shared" si="1"/>
        <v>143.04924096429488</v>
      </c>
      <c r="F6" s="152">
        <f t="shared" si="1"/>
        <v>168.85823608912744</v>
      </c>
      <c r="G6" s="152">
        <f t="shared" si="1"/>
        <v>199.32369932845981</v>
      </c>
      <c r="H6" s="152">
        <f t="shared" si="1"/>
        <v>235.28575232191707</v>
      </c>
      <c r="I6" s="152">
        <f t="shared" si="1"/>
        <v>277.73609175527781</v>
      </c>
    </row>
    <row r="7" spans="2:9" x14ac:dyDescent="0.3">
      <c r="B7" s="124" t="s">
        <v>311</v>
      </c>
      <c r="C7" s="124"/>
      <c r="D7" s="156">
        <f>'Intrensic Growth'!I54</f>
        <v>0.48630391889540459</v>
      </c>
      <c r="E7" s="129">
        <f>D7</f>
        <v>0.48630391889540459</v>
      </c>
      <c r="F7" s="129">
        <f t="shared" ref="F7:I7" si="2">E7</f>
        <v>0.48630391889540459</v>
      </c>
      <c r="G7" s="129">
        <f t="shared" si="2"/>
        <v>0.48630391889540459</v>
      </c>
      <c r="H7" s="129">
        <f t="shared" si="2"/>
        <v>0.48630391889540459</v>
      </c>
      <c r="I7" s="129">
        <f t="shared" si="2"/>
        <v>0.48630391889540459</v>
      </c>
    </row>
    <row r="8" spans="2:9" x14ac:dyDescent="0.3">
      <c r="B8" s="124" t="s">
        <v>312</v>
      </c>
      <c r="C8" s="124"/>
      <c r="D8" s="155">
        <f t="shared" ref="D8:I8" si="3">D6*(1-D7)</f>
        <v>62.252259588660351</v>
      </c>
      <c r="E8" s="152">
        <f t="shared" si="3"/>
        <v>73.483834488345238</v>
      </c>
      <c r="F8" s="152">
        <f t="shared" si="3"/>
        <v>86.741814141219336</v>
      </c>
      <c r="G8" s="152">
        <f t="shared" si="3"/>
        <v>102.39180321630049</v>
      </c>
      <c r="H8" s="152">
        <f t="shared" si="3"/>
        <v>120.86536890751526</v>
      </c>
      <c r="I8" s="152">
        <f t="shared" si="3"/>
        <v>142.67194191599253</v>
      </c>
    </row>
    <row r="9" spans="2:9" x14ac:dyDescent="0.3">
      <c r="B9" s="124" t="s">
        <v>313</v>
      </c>
      <c r="C9" s="124"/>
      <c r="D9" s="151"/>
      <c r="E9" s="157">
        <v>0.5</v>
      </c>
      <c r="F9" s="124">
        <f>E9+1</f>
        <v>1.5</v>
      </c>
      <c r="G9" s="124">
        <f t="shared" ref="G9:I9" si="4">F9+1</f>
        <v>2.5</v>
      </c>
      <c r="H9" s="124">
        <f t="shared" si="4"/>
        <v>3.5</v>
      </c>
      <c r="I9" s="124">
        <f t="shared" si="4"/>
        <v>4.5</v>
      </c>
    </row>
    <row r="10" spans="2:9" x14ac:dyDescent="0.3">
      <c r="B10" s="124" t="s">
        <v>314</v>
      </c>
      <c r="C10" s="124"/>
      <c r="D10" s="151"/>
      <c r="E10" s="158">
        <f>1/(1+$D$16)^E9</f>
        <v>0.9352666186559746</v>
      </c>
      <c r="F10" s="158">
        <f t="shared" ref="F10:I10" si="5">1/(1+$D$16)^F9</f>
        <v>0.81809982849735996</v>
      </c>
      <c r="G10" s="158">
        <f t="shared" si="5"/>
        <v>0.71561126638862571</v>
      </c>
      <c r="H10" s="158">
        <f t="shared" si="5"/>
        <v>0.62596209746545028</v>
      </c>
      <c r="I10" s="158">
        <f t="shared" si="5"/>
        <v>0.54754384938729606</v>
      </c>
    </row>
    <row r="11" spans="2:9" ht="6" customHeight="1" x14ac:dyDescent="0.3">
      <c r="D11" s="149"/>
    </row>
    <row r="12" spans="2:9" ht="15" thickBot="1" x14ac:dyDescent="0.35">
      <c r="B12" s="113" t="s">
        <v>315</v>
      </c>
      <c r="C12" s="113"/>
      <c r="D12" s="150"/>
      <c r="E12" s="121">
        <f>E8*E10</f>
        <v>68.726977407789946</v>
      </c>
      <c r="F12" s="121">
        <f t="shared" ref="F12:I12" si="6">F8*F10</f>
        <v>70.963463272481405</v>
      </c>
      <c r="G12" s="121">
        <f t="shared" si="6"/>
        <v>73.272727967431749</v>
      </c>
      <c r="H12" s="121">
        <f t="shared" si="6"/>
        <v>75.657139832283676</v>
      </c>
      <c r="I12" s="121">
        <f t="shared" si="6"/>
        <v>78.119144276243262</v>
      </c>
    </row>
    <row r="14" spans="2:9" outlineLevel="1" x14ac:dyDescent="0.3">
      <c r="B14" s="90" t="s">
        <v>316</v>
      </c>
      <c r="C14" s="90"/>
      <c r="D14" s="84">
        <f>'Intrensic Growth'!I64</f>
        <v>0.18042035701031456</v>
      </c>
    </row>
    <row r="15" spans="2:9" outlineLevel="1" x14ac:dyDescent="0.3">
      <c r="B15" s="90" t="s">
        <v>317</v>
      </c>
      <c r="C15" s="90"/>
      <c r="D15" s="84">
        <v>6.5000000000000002E-2</v>
      </c>
    </row>
    <row r="16" spans="2:9" outlineLevel="1" x14ac:dyDescent="0.3">
      <c r="B16" s="90" t="s">
        <v>248</v>
      </c>
      <c r="C16" s="90"/>
      <c r="D16" s="84">
        <f>WACC!K42</f>
        <v>0.14321820647954417</v>
      </c>
    </row>
    <row r="18" spans="2:4" x14ac:dyDescent="0.3">
      <c r="B18" s="170" t="s">
        <v>318</v>
      </c>
      <c r="C18" s="170"/>
      <c r="D18" s="170"/>
    </row>
    <row r="19" spans="2:4" x14ac:dyDescent="0.3">
      <c r="B19" s="17"/>
    </row>
    <row r="20" spans="2:4" x14ac:dyDescent="0.3">
      <c r="B20" s="17" t="s">
        <v>319</v>
      </c>
      <c r="D20" s="67">
        <f>I8*(1+D14)</f>
        <v>168.41286461183074</v>
      </c>
    </row>
    <row r="21" spans="2:4" x14ac:dyDescent="0.3">
      <c r="B21" s="17" t="s">
        <v>248</v>
      </c>
      <c r="D21" s="28">
        <f>D16</f>
        <v>0.14321820647954417</v>
      </c>
    </row>
    <row r="22" spans="2:4" x14ac:dyDescent="0.3">
      <c r="B22" s="17" t="s">
        <v>320</v>
      </c>
      <c r="D22" s="28">
        <f>D15</f>
        <v>6.5000000000000002E-2</v>
      </c>
    </row>
    <row r="23" spans="2:4" ht="6" customHeight="1" x14ac:dyDescent="0.3">
      <c r="B23" s="17"/>
      <c r="D23" s="28"/>
    </row>
    <row r="24" spans="2:4" ht="15" thickBot="1" x14ac:dyDescent="0.35">
      <c r="B24" s="109" t="s">
        <v>321</v>
      </c>
      <c r="C24" s="109"/>
      <c r="D24" s="160">
        <f>D20/(D21-D22)</f>
        <v>2153.115907303174</v>
      </c>
    </row>
    <row r="26" spans="2:4" x14ac:dyDescent="0.3">
      <c r="B26" s="170" t="s">
        <v>328</v>
      </c>
      <c r="C26" s="170"/>
      <c r="D26" s="170"/>
    </row>
    <row r="28" spans="2:4" x14ac:dyDescent="0.3">
      <c r="B28" s="17" t="s">
        <v>322</v>
      </c>
      <c r="D28" s="67">
        <f>SUM(E12:I12)</f>
        <v>366.73945275623009</v>
      </c>
    </row>
    <row r="29" spans="2:4" x14ac:dyDescent="0.3">
      <c r="B29" s="17" t="s">
        <v>323</v>
      </c>
      <c r="D29" s="67">
        <f>D24*I10</f>
        <v>1178.9253720618003</v>
      </c>
    </row>
    <row r="30" spans="2:4" x14ac:dyDescent="0.3">
      <c r="B30" s="159" t="s">
        <v>324</v>
      </c>
      <c r="C30" s="8"/>
      <c r="D30" s="161">
        <f>SUM(D28:D29)</f>
        <v>1545.6648248180304</v>
      </c>
    </row>
    <row r="32" spans="2:4" x14ac:dyDescent="0.3">
      <c r="B32" t="s">
        <v>325</v>
      </c>
      <c r="D32">
        <f>DataSheet!K69</f>
        <v>49.6</v>
      </c>
    </row>
    <row r="33" spans="2:5" x14ac:dyDescent="0.3">
      <c r="B33" t="s">
        <v>326</v>
      </c>
      <c r="D33">
        <f>SUM(DataSheet!K59:K60)</f>
        <v>120.9</v>
      </c>
    </row>
    <row r="34" spans="2:5" x14ac:dyDescent="0.3">
      <c r="B34" s="8" t="s">
        <v>327</v>
      </c>
      <c r="C34" s="8"/>
      <c r="D34" s="161">
        <f>D30+D32-D33</f>
        <v>1474.3648248180302</v>
      </c>
    </row>
    <row r="35" spans="2:5" x14ac:dyDescent="0.3">
      <c r="B35" t="s">
        <v>74</v>
      </c>
      <c r="D35" s="162">
        <f>DataSheet!B6</f>
        <v>1.6947995469988675</v>
      </c>
    </row>
    <row r="36" spans="2:5" ht="6" customHeight="1" x14ac:dyDescent="0.3"/>
    <row r="37" spans="2:5" ht="15" thickBot="1" x14ac:dyDescent="0.35">
      <c r="B37" s="110" t="s">
        <v>329</v>
      </c>
      <c r="C37" s="110"/>
      <c r="D37" s="163">
        <f>D34/D35</f>
        <v>869.93463470580889</v>
      </c>
    </row>
    <row r="39" spans="2:5" x14ac:dyDescent="0.3">
      <c r="B39" t="s">
        <v>330</v>
      </c>
      <c r="D39">
        <v>2176</v>
      </c>
    </row>
    <row r="40" spans="2:5" x14ac:dyDescent="0.3">
      <c r="B40" t="s">
        <v>331</v>
      </c>
      <c r="D40" s="165">
        <f>D39/D37</f>
        <v>2.5013373570715127</v>
      </c>
      <c r="E40" s="166" t="s">
        <v>332</v>
      </c>
    </row>
  </sheetData>
  <mergeCells count="2">
    <mergeCell ref="B18:D18"/>
    <mergeCell ref="B26:D2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1F7E-DC91-489B-A650-1E4FE7311523}">
  <sheetPr>
    <tabColor rgb="FFFF000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848F8-1C75-4EF9-AC88-861105CFDDF2}">
  <sheetPr>
    <tabColor rgb="FFFF0000"/>
  </sheetPr>
  <dimension ref="B2:M72"/>
  <sheetViews>
    <sheetView showGridLines="0" zoomScale="96" workbookViewId="0">
      <pane ySplit="3" topLeftCell="A4" activePane="bottomLeft" state="frozen"/>
      <selection pane="bottomLeft" activeCell="Q65" sqref="Q65"/>
    </sheetView>
  </sheetViews>
  <sheetFormatPr defaultRowHeight="14.4" x14ac:dyDescent="0.3"/>
  <cols>
    <col min="1" max="1" width="1.88671875" customWidth="1"/>
    <col min="2" max="2" width="35.5546875" style="98" bestFit="1" customWidth="1"/>
  </cols>
  <sheetData>
    <row r="2" spans="2:13" x14ac:dyDescent="0.3">
      <c r="B2" s="117" t="s">
        <v>292</v>
      </c>
    </row>
    <row r="3" spans="2:13" x14ac:dyDescent="0.3">
      <c r="B3" s="104" t="s">
        <v>278</v>
      </c>
      <c r="C3" s="105">
        <v>42064</v>
      </c>
      <c r="D3" s="105">
        <v>42430</v>
      </c>
      <c r="E3" s="105">
        <v>42795</v>
      </c>
      <c r="F3" s="105">
        <v>43160</v>
      </c>
      <c r="G3" s="105">
        <v>43525</v>
      </c>
      <c r="H3" s="105">
        <v>43891</v>
      </c>
      <c r="I3" s="105">
        <v>44256</v>
      </c>
      <c r="J3" s="105">
        <v>44621</v>
      </c>
      <c r="K3" s="105">
        <v>44986</v>
      </c>
      <c r="L3" s="105">
        <v>45352</v>
      </c>
      <c r="M3" s="105">
        <v>45717</v>
      </c>
    </row>
    <row r="4" spans="2:13" x14ac:dyDescent="0.3">
      <c r="B4" s="94" t="s">
        <v>250</v>
      </c>
      <c r="C4" s="91">
        <v>7</v>
      </c>
      <c r="D4" s="91">
        <v>7</v>
      </c>
      <c r="E4" s="91">
        <v>7</v>
      </c>
      <c r="F4" s="91">
        <v>7</v>
      </c>
      <c r="G4" s="91">
        <v>8</v>
      </c>
      <c r="H4" s="91">
        <v>8</v>
      </c>
      <c r="I4" s="91">
        <v>8</v>
      </c>
      <c r="J4" s="91">
        <v>8</v>
      </c>
      <c r="K4" s="91">
        <v>8</v>
      </c>
      <c r="L4" s="91">
        <v>8</v>
      </c>
      <c r="M4" s="91">
        <v>8</v>
      </c>
    </row>
    <row r="5" spans="2:13" x14ac:dyDescent="0.3">
      <c r="B5" s="96" t="s">
        <v>32</v>
      </c>
      <c r="C5" s="92">
        <v>27</v>
      </c>
      <c r="D5" s="92">
        <v>37</v>
      </c>
      <c r="E5" s="92">
        <v>49</v>
      </c>
      <c r="F5" s="92">
        <v>69</v>
      </c>
      <c r="G5" s="92">
        <v>137</v>
      </c>
      <c r="H5" s="92">
        <v>177</v>
      </c>
      <c r="I5" s="92">
        <v>196</v>
      </c>
      <c r="J5" s="92">
        <v>251</v>
      </c>
      <c r="K5" s="92">
        <v>308</v>
      </c>
      <c r="L5" s="92">
        <v>404</v>
      </c>
      <c r="M5" s="92">
        <v>528</v>
      </c>
    </row>
    <row r="6" spans="2:13" x14ac:dyDescent="0.3">
      <c r="B6" s="100" t="s">
        <v>251</v>
      </c>
      <c r="C6" s="101">
        <v>73</v>
      </c>
      <c r="D6" s="101">
        <v>82</v>
      </c>
      <c r="E6" s="101">
        <v>117</v>
      </c>
      <c r="F6" s="101">
        <v>184</v>
      </c>
      <c r="G6" s="101">
        <v>127</v>
      </c>
      <c r="H6" s="101">
        <v>189</v>
      </c>
      <c r="I6" s="101">
        <v>118</v>
      </c>
      <c r="J6" s="101">
        <v>59</v>
      </c>
      <c r="K6" s="101">
        <v>79</v>
      </c>
      <c r="L6" s="101">
        <v>47</v>
      </c>
      <c r="M6" s="101">
        <v>0</v>
      </c>
    </row>
    <row r="7" spans="2:13" x14ac:dyDescent="0.3">
      <c r="B7" s="94" t="s">
        <v>252</v>
      </c>
      <c r="C7" s="91">
        <v>29.43</v>
      </c>
      <c r="D7" s="91">
        <v>37.83</v>
      </c>
      <c r="E7" s="91">
        <v>62.77</v>
      </c>
      <c r="F7" s="91">
        <v>88.55</v>
      </c>
      <c r="G7" s="91">
        <v>42.36</v>
      </c>
      <c r="H7" s="91">
        <v>97.64</v>
      </c>
      <c r="I7" s="91">
        <v>35.65</v>
      </c>
      <c r="J7" s="91">
        <v>21.49</v>
      </c>
      <c r="K7" s="91">
        <v>9.14</v>
      </c>
      <c r="L7" s="91">
        <v>0.57999999999999996</v>
      </c>
      <c r="M7" s="91">
        <v>0</v>
      </c>
    </row>
    <row r="8" spans="2:13" x14ac:dyDescent="0.3">
      <c r="B8" s="94" t="s">
        <v>253</v>
      </c>
      <c r="C8" s="91">
        <v>40</v>
      </c>
      <c r="D8" s="91">
        <v>41.51</v>
      </c>
      <c r="E8" s="91">
        <v>48.91</v>
      </c>
      <c r="F8" s="91">
        <v>82.83</v>
      </c>
      <c r="G8" s="91">
        <v>74.23</v>
      </c>
      <c r="H8" s="91">
        <v>72.13</v>
      </c>
      <c r="I8" s="91">
        <v>58.53</v>
      </c>
      <c r="J8" s="91">
        <v>21.11</v>
      </c>
      <c r="K8" s="91">
        <v>55.94</v>
      </c>
      <c r="L8" s="91">
        <v>36.15</v>
      </c>
      <c r="M8" s="91">
        <v>0</v>
      </c>
    </row>
    <row r="9" spans="2:13" x14ac:dyDescent="0.3">
      <c r="B9" s="94" t="s">
        <v>254</v>
      </c>
      <c r="C9" s="91">
        <v>3.86</v>
      </c>
      <c r="D9" s="91">
        <v>2.39</v>
      </c>
      <c r="E9" s="91">
        <v>5.0999999999999996</v>
      </c>
      <c r="F9" s="91">
        <v>12.62</v>
      </c>
      <c r="G9" s="91">
        <v>10.210000000000001</v>
      </c>
      <c r="H9" s="91">
        <v>19.28</v>
      </c>
      <c r="I9" s="91">
        <v>24.3</v>
      </c>
      <c r="J9" s="91">
        <v>16.55</v>
      </c>
      <c r="K9" s="91">
        <v>14.34</v>
      </c>
      <c r="L9" s="91">
        <v>10.199999999999999</v>
      </c>
      <c r="M9" s="91">
        <v>0</v>
      </c>
    </row>
    <row r="10" spans="2:13" x14ac:dyDescent="0.3">
      <c r="B10" s="102" t="s">
        <v>255</v>
      </c>
      <c r="C10" s="103">
        <v>23</v>
      </c>
      <c r="D10" s="103">
        <v>24</v>
      </c>
      <c r="E10" s="103">
        <v>38</v>
      </c>
      <c r="F10" s="103">
        <v>43</v>
      </c>
      <c r="G10" s="103">
        <v>56</v>
      </c>
      <c r="H10" s="103">
        <v>64</v>
      </c>
      <c r="I10" s="103">
        <v>73</v>
      </c>
      <c r="J10" s="103">
        <v>89</v>
      </c>
      <c r="K10" s="103">
        <v>93</v>
      </c>
      <c r="L10" s="103">
        <v>79</v>
      </c>
      <c r="M10" s="103">
        <v>69</v>
      </c>
    </row>
    <row r="11" spans="2:13" x14ac:dyDescent="0.3">
      <c r="B11" s="96" t="s">
        <v>256</v>
      </c>
      <c r="C11" s="92">
        <v>14</v>
      </c>
      <c r="D11" s="92">
        <v>13</v>
      </c>
      <c r="E11" s="92">
        <v>20</v>
      </c>
      <c r="F11" s="92">
        <v>18</v>
      </c>
      <c r="G11" s="92">
        <v>34</v>
      </c>
      <c r="H11" s="92">
        <v>27</v>
      </c>
      <c r="I11" s="92">
        <v>36</v>
      </c>
      <c r="J11" s="92">
        <v>51</v>
      </c>
      <c r="K11" s="92">
        <v>58</v>
      </c>
      <c r="L11" s="92">
        <v>40</v>
      </c>
      <c r="M11" s="92">
        <v>38</v>
      </c>
    </row>
    <row r="12" spans="2:13" x14ac:dyDescent="0.3">
      <c r="B12" s="96" t="s">
        <v>257</v>
      </c>
      <c r="C12" s="92">
        <v>1</v>
      </c>
      <c r="D12" s="92">
        <v>2</v>
      </c>
      <c r="E12" s="92">
        <v>3</v>
      </c>
      <c r="F12" s="92">
        <v>3</v>
      </c>
      <c r="G12" s="92">
        <v>2</v>
      </c>
      <c r="H12" s="92">
        <v>2</v>
      </c>
      <c r="I12" s="92">
        <v>5</v>
      </c>
      <c r="J12" s="92">
        <v>4</v>
      </c>
      <c r="K12" s="92">
        <v>9</v>
      </c>
      <c r="L12" s="92">
        <v>4</v>
      </c>
      <c r="M12" s="92">
        <v>5</v>
      </c>
    </row>
    <row r="13" spans="2:13" x14ac:dyDescent="0.3">
      <c r="B13" s="96" t="s">
        <v>258</v>
      </c>
      <c r="C13" s="92">
        <v>8</v>
      </c>
      <c r="D13" s="92">
        <v>9</v>
      </c>
      <c r="E13" s="92">
        <v>16</v>
      </c>
      <c r="F13" s="92">
        <v>21</v>
      </c>
      <c r="G13" s="92">
        <v>19</v>
      </c>
      <c r="H13" s="92">
        <v>35</v>
      </c>
      <c r="I13" s="92">
        <v>33</v>
      </c>
      <c r="J13" s="92">
        <v>33</v>
      </c>
      <c r="K13" s="92">
        <v>27</v>
      </c>
      <c r="L13" s="92">
        <v>35</v>
      </c>
      <c r="M13" s="92">
        <v>27</v>
      </c>
    </row>
    <row r="14" spans="2:13" x14ac:dyDescent="0.3">
      <c r="B14" s="106" t="s">
        <v>82</v>
      </c>
      <c r="C14" s="107">
        <v>131</v>
      </c>
      <c r="D14" s="107">
        <v>149</v>
      </c>
      <c r="E14" s="107">
        <v>211</v>
      </c>
      <c r="F14" s="107">
        <v>303</v>
      </c>
      <c r="G14" s="107">
        <v>328</v>
      </c>
      <c r="H14" s="107">
        <v>438</v>
      </c>
      <c r="I14" s="107">
        <v>395</v>
      </c>
      <c r="J14" s="107">
        <v>407</v>
      </c>
      <c r="K14" s="107">
        <v>489</v>
      </c>
      <c r="L14" s="107">
        <v>538</v>
      </c>
      <c r="M14" s="107">
        <v>606</v>
      </c>
    </row>
    <row r="15" spans="2:13" x14ac:dyDescent="0.3">
      <c r="B15" s="100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</row>
    <row r="16" spans="2:13" x14ac:dyDescent="0.3">
      <c r="B16" s="102" t="s">
        <v>259</v>
      </c>
      <c r="C16" s="103">
        <v>51</v>
      </c>
      <c r="D16" s="103">
        <v>49</v>
      </c>
      <c r="E16" s="103">
        <v>56</v>
      </c>
      <c r="F16" s="103">
        <v>80</v>
      </c>
      <c r="G16" s="103">
        <v>186</v>
      </c>
      <c r="H16" s="103">
        <v>233</v>
      </c>
      <c r="I16" s="103">
        <v>195</v>
      </c>
      <c r="J16" s="103">
        <v>188</v>
      </c>
      <c r="K16" s="103">
        <v>179</v>
      </c>
      <c r="L16" s="103">
        <v>172</v>
      </c>
      <c r="M16" s="103">
        <v>175</v>
      </c>
    </row>
    <row r="17" spans="2:13" x14ac:dyDescent="0.3">
      <c r="B17" s="96" t="s">
        <v>260</v>
      </c>
      <c r="C17" s="92">
        <v>14.67</v>
      </c>
      <c r="D17" s="92">
        <v>15.99</v>
      </c>
      <c r="E17" s="92">
        <v>22.37</v>
      </c>
      <c r="F17" s="92">
        <v>23.22</v>
      </c>
      <c r="G17" s="92">
        <v>15.67</v>
      </c>
      <c r="H17" s="92">
        <v>17.45</v>
      </c>
      <c r="I17" s="92">
        <v>20.149999999999999</v>
      </c>
      <c r="J17" s="92">
        <v>20.149999999999999</v>
      </c>
      <c r="K17" s="92">
        <v>26.09</v>
      </c>
      <c r="L17" s="92">
        <v>26.3</v>
      </c>
      <c r="M17" s="92">
        <v>25.94</v>
      </c>
    </row>
    <row r="18" spans="2:13" x14ac:dyDescent="0.3">
      <c r="B18" s="96" t="s">
        <v>261</v>
      </c>
      <c r="C18" s="92">
        <v>8.44</v>
      </c>
      <c r="D18" s="92">
        <v>8.44</v>
      </c>
      <c r="E18" s="92">
        <v>8.44</v>
      </c>
      <c r="F18" s="92">
        <v>23.7</v>
      </c>
      <c r="G18" s="92">
        <v>33.65</v>
      </c>
      <c r="H18" s="92">
        <v>47.66</v>
      </c>
      <c r="I18" s="92">
        <v>50.99</v>
      </c>
      <c r="J18" s="92">
        <v>50.99</v>
      </c>
      <c r="K18" s="92">
        <v>50.99</v>
      </c>
      <c r="L18" s="92">
        <v>50.99</v>
      </c>
      <c r="M18" s="92">
        <v>51.28</v>
      </c>
    </row>
    <row r="19" spans="2:13" x14ac:dyDescent="0.3">
      <c r="B19" s="96" t="s">
        <v>262</v>
      </c>
      <c r="C19" s="92">
        <v>46.71</v>
      </c>
      <c r="D19" s="92">
        <v>47.02</v>
      </c>
      <c r="E19" s="92">
        <v>50.7</v>
      </c>
      <c r="F19" s="92">
        <v>59.42</v>
      </c>
      <c r="G19" s="92">
        <v>113.41</v>
      </c>
      <c r="H19" s="92">
        <v>158.63</v>
      </c>
      <c r="I19" s="92">
        <v>182.65</v>
      </c>
      <c r="J19" s="92">
        <v>196.08</v>
      </c>
      <c r="K19" s="92">
        <v>201.67</v>
      </c>
      <c r="L19" s="92">
        <v>213.13</v>
      </c>
      <c r="M19" s="92">
        <v>237.58</v>
      </c>
    </row>
    <row r="20" spans="2:13" x14ac:dyDescent="0.3">
      <c r="B20" s="96" t="s">
        <v>263</v>
      </c>
      <c r="C20" s="92">
        <v>2.7</v>
      </c>
      <c r="D20" s="92">
        <v>2.79</v>
      </c>
      <c r="E20" s="92">
        <v>2.86</v>
      </c>
      <c r="F20" s="92">
        <v>3.35</v>
      </c>
      <c r="G20" s="92">
        <v>9.39</v>
      </c>
      <c r="H20" s="92">
        <v>11.56</v>
      </c>
      <c r="I20" s="92">
        <v>11.41</v>
      </c>
      <c r="J20" s="92">
        <v>11.43</v>
      </c>
      <c r="K20" s="92">
        <v>11.56</v>
      </c>
      <c r="L20" s="92">
        <v>11.59</v>
      </c>
      <c r="M20" s="92">
        <v>11.7</v>
      </c>
    </row>
    <row r="21" spans="2:13" x14ac:dyDescent="0.3">
      <c r="B21" s="96" t="s">
        <v>264</v>
      </c>
      <c r="C21" s="92">
        <v>0.44</v>
      </c>
      <c r="D21" s="92">
        <v>0.72</v>
      </c>
      <c r="E21" s="92">
        <v>0.78</v>
      </c>
      <c r="F21" s="92">
        <v>1.67</v>
      </c>
      <c r="G21" s="92">
        <v>1.81</v>
      </c>
      <c r="H21" s="92">
        <v>1.95</v>
      </c>
      <c r="I21" s="92">
        <v>2.02</v>
      </c>
      <c r="J21" s="92">
        <v>2.14</v>
      </c>
      <c r="K21" s="92">
        <v>2.2799999999999998</v>
      </c>
      <c r="L21" s="92">
        <v>2.4300000000000002</v>
      </c>
      <c r="M21" s="92">
        <v>2.56</v>
      </c>
    </row>
    <row r="22" spans="2:13" x14ac:dyDescent="0.3">
      <c r="B22" s="96" t="s">
        <v>265</v>
      </c>
      <c r="C22" s="92">
        <v>0.87</v>
      </c>
      <c r="D22" s="92">
        <v>0.89</v>
      </c>
      <c r="E22" s="92">
        <v>0.91</v>
      </c>
      <c r="F22" s="92">
        <v>1.05</v>
      </c>
      <c r="G22" s="92">
        <v>2.19</v>
      </c>
      <c r="H22" s="92">
        <v>2.83</v>
      </c>
      <c r="I22" s="92">
        <v>2.83</v>
      </c>
      <c r="J22" s="92">
        <v>2.83</v>
      </c>
      <c r="K22" s="92">
        <v>2.87</v>
      </c>
      <c r="L22" s="92">
        <v>3.1</v>
      </c>
      <c r="M22" s="92">
        <v>3.18</v>
      </c>
    </row>
    <row r="23" spans="2:13" x14ac:dyDescent="0.3">
      <c r="B23" s="96" t="s">
        <v>266</v>
      </c>
      <c r="C23" s="92">
        <v>3.2</v>
      </c>
      <c r="D23" s="92">
        <v>3.3</v>
      </c>
      <c r="E23" s="92">
        <v>4.9000000000000004</v>
      </c>
      <c r="F23" s="92">
        <v>7.65</v>
      </c>
      <c r="G23" s="92">
        <v>7.51</v>
      </c>
      <c r="H23" s="92">
        <v>7.18</v>
      </c>
      <c r="I23" s="92">
        <v>8.3000000000000007</v>
      </c>
      <c r="J23" s="92">
        <v>8.2100000000000009</v>
      </c>
      <c r="K23" s="92">
        <v>8.6300000000000008</v>
      </c>
      <c r="L23" s="92">
        <v>9.36</v>
      </c>
      <c r="M23" s="92">
        <v>9.0500000000000007</v>
      </c>
    </row>
    <row r="24" spans="2:13" x14ac:dyDescent="0.3">
      <c r="B24" s="96" t="s">
        <v>267</v>
      </c>
      <c r="C24" s="92">
        <v>0</v>
      </c>
      <c r="D24" s="92">
        <v>0</v>
      </c>
      <c r="E24" s="92">
        <v>0</v>
      </c>
      <c r="F24" s="92">
        <v>0</v>
      </c>
      <c r="G24" s="92">
        <v>0</v>
      </c>
      <c r="H24" s="92">
        <v>0</v>
      </c>
      <c r="I24" s="92">
        <v>0</v>
      </c>
      <c r="J24" s="92">
        <v>0</v>
      </c>
      <c r="K24" s="92">
        <v>0</v>
      </c>
      <c r="L24" s="92">
        <v>0</v>
      </c>
      <c r="M24" s="92">
        <v>0</v>
      </c>
    </row>
    <row r="25" spans="2:13" x14ac:dyDescent="0.3">
      <c r="B25" s="96" t="s">
        <v>268</v>
      </c>
      <c r="C25" s="92">
        <v>0</v>
      </c>
      <c r="D25" s="92">
        <v>0.02</v>
      </c>
      <c r="E25" s="92">
        <v>0.34</v>
      </c>
      <c r="F25" s="92">
        <v>0.01</v>
      </c>
      <c r="G25" s="92">
        <v>48.99</v>
      </c>
      <c r="H25" s="92">
        <v>53.75</v>
      </c>
      <c r="I25" s="92">
        <v>4.76</v>
      </c>
      <c r="J25" s="92">
        <v>4.75</v>
      </c>
      <c r="K25" s="92">
        <v>5.88</v>
      </c>
      <c r="L25" s="92">
        <v>5.87</v>
      </c>
      <c r="M25" s="92">
        <v>5.95</v>
      </c>
    </row>
    <row r="26" spans="2:13" x14ac:dyDescent="0.3">
      <c r="B26" s="96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</row>
    <row r="27" spans="2:13" x14ac:dyDescent="0.3">
      <c r="B27" s="102" t="s">
        <v>269</v>
      </c>
      <c r="C27" s="103">
        <v>77.03</v>
      </c>
      <c r="D27" s="103">
        <v>79.17</v>
      </c>
      <c r="E27" s="103">
        <v>91.3</v>
      </c>
      <c r="F27" s="103">
        <v>120.07</v>
      </c>
      <c r="G27" s="103">
        <v>232.62</v>
      </c>
      <c r="H27" s="103">
        <v>301.01</v>
      </c>
      <c r="I27" s="103">
        <v>283.11</v>
      </c>
      <c r="J27" s="103">
        <v>296.58</v>
      </c>
      <c r="K27" s="103">
        <v>309.97000000000003</v>
      </c>
      <c r="L27" s="103">
        <v>322.77</v>
      </c>
      <c r="M27" s="103">
        <v>347.24</v>
      </c>
    </row>
    <row r="28" spans="2:13" x14ac:dyDescent="0.3">
      <c r="B28" s="96" t="s">
        <v>270</v>
      </c>
      <c r="C28" s="92">
        <v>26.33</v>
      </c>
      <c r="D28" s="92">
        <v>30.52</v>
      </c>
      <c r="E28" s="92">
        <v>35.01</v>
      </c>
      <c r="F28" s="92">
        <v>40.380000000000003</v>
      </c>
      <c r="G28" s="92">
        <v>46.95</v>
      </c>
      <c r="H28" s="92">
        <v>67.540000000000006</v>
      </c>
      <c r="I28" s="92">
        <v>88.15</v>
      </c>
      <c r="J28" s="92">
        <v>108.76</v>
      </c>
      <c r="K28" s="92">
        <v>131.24</v>
      </c>
      <c r="L28" s="92">
        <v>150.97999999999999</v>
      </c>
      <c r="M28" s="92">
        <v>172.2</v>
      </c>
    </row>
    <row r="29" spans="2:13" x14ac:dyDescent="0.3">
      <c r="B29" s="94" t="s">
        <v>271</v>
      </c>
      <c r="C29" s="91">
        <v>20</v>
      </c>
      <c r="D29" s="91">
        <v>31</v>
      </c>
      <c r="E29" s="91">
        <v>56</v>
      </c>
      <c r="F29" s="91">
        <v>109</v>
      </c>
      <c r="G29" s="91">
        <v>0</v>
      </c>
      <c r="H29" s="91">
        <v>13</v>
      </c>
      <c r="I29" s="91">
        <v>11</v>
      </c>
      <c r="J29" s="91">
        <v>0</v>
      </c>
      <c r="K29" s="91">
        <v>0</v>
      </c>
      <c r="L29" s="91">
        <v>13</v>
      </c>
      <c r="M29" s="91">
        <v>2</v>
      </c>
    </row>
    <row r="30" spans="2:13" x14ac:dyDescent="0.3">
      <c r="B30" s="96" t="s">
        <v>38</v>
      </c>
      <c r="C30" s="92">
        <v>0</v>
      </c>
      <c r="D30" s="92">
        <v>0</v>
      </c>
      <c r="E30" s="92">
        <v>0</v>
      </c>
      <c r="F30" s="92">
        <v>0</v>
      </c>
      <c r="G30" s="92">
        <v>0</v>
      </c>
      <c r="H30" s="92">
        <v>1</v>
      </c>
      <c r="I30" s="92">
        <v>2</v>
      </c>
      <c r="J30" s="92">
        <v>2</v>
      </c>
      <c r="K30" s="92">
        <v>2</v>
      </c>
      <c r="L30" s="92">
        <v>2</v>
      </c>
      <c r="M30" s="92">
        <v>1</v>
      </c>
    </row>
    <row r="31" spans="2:13" x14ac:dyDescent="0.3">
      <c r="B31" s="96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</row>
    <row r="32" spans="2:13" x14ac:dyDescent="0.3">
      <c r="B32" s="100" t="s">
        <v>272</v>
      </c>
      <c r="C32" s="101">
        <v>60</v>
      </c>
      <c r="D32" s="101">
        <v>70</v>
      </c>
      <c r="E32" s="101">
        <v>99</v>
      </c>
      <c r="F32" s="101">
        <v>115</v>
      </c>
      <c r="G32" s="101">
        <v>143</v>
      </c>
      <c r="H32" s="101">
        <v>191</v>
      </c>
      <c r="I32" s="101">
        <v>188</v>
      </c>
      <c r="J32" s="101">
        <v>218</v>
      </c>
      <c r="K32" s="101">
        <v>308</v>
      </c>
      <c r="L32" s="101">
        <v>351</v>
      </c>
      <c r="M32" s="101">
        <v>428</v>
      </c>
    </row>
    <row r="33" spans="2:13" x14ac:dyDescent="0.3">
      <c r="B33" s="94" t="s">
        <v>273</v>
      </c>
      <c r="C33" s="91">
        <v>25</v>
      </c>
      <c r="D33" s="91">
        <v>25</v>
      </c>
      <c r="E33" s="91">
        <v>43</v>
      </c>
      <c r="F33" s="91">
        <v>54</v>
      </c>
      <c r="G33" s="91">
        <v>59</v>
      </c>
      <c r="H33" s="91">
        <v>66</v>
      </c>
      <c r="I33" s="91">
        <v>67</v>
      </c>
      <c r="J33" s="91">
        <v>72</v>
      </c>
      <c r="K33" s="91">
        <v>133</v>
      </c>
      <c r="L33" s="91">
        <v>160</v>
      </c>
      <c r="M33" s="91">
        <v>145</v>
      </c>
    </row>
    <row r="34" spans="2:13" x14ac:dyDescent="0.3">
      <c r="B34" s="94" t="s">
        <v>274</v>
      </c>
      <c r="C34" s="91">
        <v>26</v>
      </c>
      <c r="D34" s="91">
        <v>34</v>
      </c>
      <c r="E34" s="91">
        <v>40</v>
      </c>
      <c r="F34" s="91">
        <v>47</v>
      </c>
      <c r="G34" s="91">
        <v>57</v>
      </c>
      <c r="H34" s="91">
        <v>79</v>
      </c>
      <c r="I34" s="91">
        <v>87</v>
      </c>
      <c r="J34" s="91">
        <v>99</v>
      </c>
      <c r="K34" s="91">
        <v>119</v>
      </c>
      <c r="L34" s="91">
        <v>126</v>
      </c>
      <c r="M34" s="91">
        <v>161</v>
      </c>
    </row>
    <row r="35" spans="2:13" x14ac:dyDescent="0.3">
      <c r="B35" s="94" t="s">
        <v>275</v>
      </c>
      <c r="C35" s="91">
        <v>4</v>
      </c>
      <c r="D35" s="91">
        <v>2</v>
      </c>
      <c r="E35" s="91">
        <v>2</v>
      </c>
      <c r="F35" s="91">
        <v>1</v>
      </c>
      <c r="G35" s="91">
        <v>1</v>
      </c>
      <c r="H35" s="91">
        <v>2</v>
      </c>
      <c r="I35" s="91">
        <v>6</v>
      </c>
      <c r="J35" s="91">
        <v>15</v>
      </c>
      <c r="K35" s="91">
        <v>8</v>
      </c>
      <c r="L35" s="91">
        <v>26</v>
      </c>
      <c r="M35" s="91">
        <v>72</v>
      </c>
    </row>
    <row r="36" spans="2:13" x14ac:dyDescent="0.3">
      <c r="B36" s="94" t="s">
        <v>276</v>
      </c>
      <c r="C36" s="91">
        <v>1</v>
      </c>
      <c r="D36" s="91">
        <v>1</v>
      </c>
      <c r="E36" s="91">
        <v>1</v>
      </c>
      <c r="F36" s="91">
        <v>2</v>
      </c>
      <c r="G36" s="91">
        <v>2</v>
      </c>
      <c r="H36" s="91">
        <v>4</v>
      </c>
      <c r="I36" s="91">
        <v>4</v>
      </c>
      <c r="J36" s="91">
        <v>4</v>
      </c>
      <c r="K36" s="91">
        <v>18</v>
      </c>
      <c r="L36" s="91">
        <v>14</v>
      </c>
      <c r="M36" s="91">
        <v>13</v>
      </c>
    </row>
    <row r="37" spans="2:13" x14ac:dyDescent="0.3">
      <c r="B37" s="94" t="s">
        <v>277</v>
      </c>
      <c r="C37" s="91">
        <v>4</v>
      </c>
      <c r="D37" s="91">
        <v>8</v>
      </c>
      <c r="E37" s="91">
        <v>13</v>
      </c>
      <c r="F37" s="91">
        <v>10</v>
      </c>
      <c r="G37" s="91">
        <v>23</v>
      </c>
      <c r="H37" s="91">
        <v>39</v>
      </c>
      <c r="I37" s="91">
        <v>24</v>
      </c>
      <c r="J37" s="91">
        <v>28</v>
      </c>
      <c r="K37" s="91">
        <v>31</v>
      </c>
      <c r="L37" s="91">
        <v>26</v>
      </c>
      <c r="M37" s="91">
        <v>36</v>
      </c>
    </row>
    <row r="38" spans="2:13" x14ac:dyDescent="0.3">
      <c r="B38" s="94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</row>
    <row r="39" spans="2:13" x14ac:dyDescent="0.3">
      <c r="B39" s="102" t="s">
        <v>86</v>
      </c>
      <c r="C39" s="103">
        <v>131</v>
      </c>
      <c r="D39" s="103">
        <v>149</v>
      </c>
      <c r="E39" s="103">
        <v>211</v>
      </c>
      <c r="F39" s="103">
        <v>303</v>
      </c>
      <c r="G39" s="103">
        <v>328</v>
      </c>
      <c r="H39" s="103">
        <v>438</v>
      </c>
      <c r="I39" s="103">
        <v>395</v>
      </c>
      <c r="J39" s="103">
        <v>407</v>
      </c>
      <c r="K39" s="103">
        <v>489</v>
      </c>
      <c r="L39" s="103">
        <v>538</v>
      </c>
      <c r="M39" s="103">
        <v>606</v>
      </c>
    </row>
    <row r="41" spans="2:13" x14ac:dyDescent="0.3">
      <c r="B41" s="117" t="s">
        <v>293</v>
      </c>
    </row>
    <row r="42" spans="2:13" ht="15" thickBot="1" x14ac:dyDescent="0.35">
      <c r="B42" s="104" t="s">
        <v>278</v>
      </c>
      <c r="C42" s="105">
        <v>42064</v>
      </c>
      <c r="D42" s="105">
        <v>42430</v>
      </c>
      <c r="E42" s="105">
        <v>42795</v>
      </c>
      <c r="F42" s="105">
        <v>43160</v>
      </c>
      <c r="G42" s="105">
        <v>43525</v>
      </c>
      <c r="H42" s="105">
        <v>43891</v>
      </c>
      <c r="I42" s="105">
        <v>44256</v>
      </c>
      <c r="J42" s="105">
        <v>44621</v>
      </c>
      <c r="K42" s="105">
        <v>44986</v>
      </c>
      <c r="L42" s="105">
        <v>45352</v>
      </c>
      <c r="M42" s="105">
        <v>45717</v>
      </c>
    </row>
    <row r="43" spans="2:13" ht="15" thickBot="1" x14ac:dyDescent="0.35">
      <c r="B43" s="99" t="s">
        <v>294</v>
      </c>
      <c r="C43" s="93">
        <v>20</v>
      </c>
      <c r="D43" s="93">
        <v>6</v>
      </c>
      <c r="E43" s="93">
        <v>11</v>
      </c>
      <c r="F43" s="93">
        <v>26</v>
      </c>
      <c r="G43" s="93">
        <v>19</v>
      </c>
      <c r="H43" s="93">
        <v>28</v>
      </c>
      <c r="I43" s="93">
        <v>66</v>
      </c>
      <c r="J43" s="93">
        <v>79</v>
      </c>
      <c r="K43" s="93">
        <v>6</v>
      </c>
      <c r="L43" s="93">
        <v>66</v>
      </c>
      <c r="M43" s="93">
        <v>109</v>
      </c>
    </row>
    <row r="44" spans="2:13" x14ac:dyDescent="0.3">
      <c r="B44" s="99" t="s">
        <v>89</v>
      </c>
      <c r="C44" s="93">
        <v>19</v>
      </c>
      <c r="D44" s="93">
        <v>23</v>
      </c>
      <c r="E44" s="93">
        <v>31</v>
      </c>
      <c r="F44" s="93">
        <v>45</v>
      </c>
      <c r="G44" s="93">
        <v>45</v>
      </c>
      <c r="H44" s="93">
        <v>78</v>
      </c>
      <c r="I44" s="93">
        <v>78</v>
      </c>
      <c r="J44" s="93">
        <v>98</v>
      </c>
      <c r="K44" s="93">
        <v>100</v>
      </c>
      <c r="L44" s="93">
        <v>151</v>
      </c>
      <c r="M44" s="93">
        <v>185</v>
      </c>
    </row>
    <row r="45" spans="2:13" x14ac:dyDescent="0.3">
      <c r="B45" s="94" t="s">
        <v>40</v>
      </c>
      <c r="C45" s="91">
        <v>-6</v>
      </c>
      <c r="D45" s="91">
        <v>-7</v>
      </c>
      <c r="E45" s="91">
        <v>-7</v>
      </c>
      <c r="F45" s="91">
        <v>-10</v>
      </c>
      <c r="G45" s="91">
        <v>-22</v>
      </c>
      <c r="H45" s="91">
        <v>-23</v>
      </c>
      <c r="I45" s="91">
        <v>-7</v>
      </c>
      <c r="J45" s="91">
        <v>-14</v>
      </c>
      <c r="K45" s="91">
        <v>-20</v>
      </c>
      <c r="L45" s="91">
        <v>-7</v>
      </c>
      <c r="M45" s="91">
        <v>-39</v>
      </c>
    </row>
    <row r="46" spans="2:13" x14ac:dyDescent="0.3">
      <c r="B46" s="94" t="s">
        <v>41</v>
      </c>
      <c r="C46" s="91">
        <v>6</v>
      </c>
      <c r="D46" s="91">
        <v>-1</v>
      </c>
      <c r="E46" s="91">
        <v>-18</v>
      </c>
      <c r="F46" s="91">
        <v>-11</v>
      </c>
      <c r="G46" s="91">
        <v>-5</v>
      </c>
      <c r="H46" s="91">
        <v>-5</v>
      </c>
      <c r="I46" s="91">
        <v>0</v>
      </c>
      <c r="J46" s="91">
        <v>-5</v>
      </c>
      <c r="K46" s="91">
        <v>-61</v>
      </c>
      <c r="L46" s="91">
        <v>-27</v>
      </c>
      <c r="M46" s="91">
        <v>15</v>
      </c>
    </row>
    <row r="47" spans="2:13" x14ac:dyDescent="0.3">
      <c r="B47" s="94" t="s">
        <v>90</v>
      </c>
      <c r="C47" s="91">
        <v>6</v>
      </c>
      <c r="D47" s="91">
        <v>-1</v>
      </c>
      <c r="E47" s="91">
        <v>7</v>
      </c>
      <c r="F47" s="91">
        <v>9</v>
      </c>
      <c r="G47" s="91">
        <v>12</v>
      </c>
      <c r="H47" s="91">
        <v>-12</v>
      </c>
      <c r="I47" s="91">
        <v>13</v>
      </c>
      <c r="J47" s="91">
        <v>17</v>
      </c>
      <c r="K47" s="91">
        <v>10</v>
      </c>
      <c r="L47" s="91">
        <v>-25</v>
      </c>
      <c r="M47" s="91">
        <v>-4</v>
      </c>
    </row>
    <row r="48" spans="2:13" x14ac:dyDescent="0.3">
      <c r="B48" s="94" t="s">
        <v>91</v>
      </c>
      <c r="C48" s="91">
        <v>3</v>
      </c>
      <c r="D48" s="91">
        <v>-3</v>
      </c>
      <c r="E48" s="91">
        <v>-4</v>
      </c>
      <c r="F48" s="91">
        <v>0</v>
      </c>
      <c r="G48" s="91">
        <v>0</v>
      </c>
      <c r="H48" s="91">
        <v>0</v>
      </c>
      <c r="I48" s="91">
        <v>0</v>
      </c>
      <c r="J48" s="91">
        <v>0</v>
      </c>
      <c r="K48" s="91">
        <v>0</v>
      </c>
      <c r="L48" s="91">
        <v>0</v>
      </c>
      <c r="M48" s="91">
        <v>0</v>
      </c>
    </row>
    <row r="49" spans="2:13" ht="15" thickBot="1" x14ac:dyDescent="0.35">
      <c r="B49" s="94" t="s">
        <v>92</v>
      </c>
      <c r="C49" s="91">
        <v>-6</v>
      </c>
      <c r="D49" s="91">
        <v>-1</v>
      </c>
      <c r="E49" s="91">
        <v>8</v>
      </c>
      <c r="F49" s="91">
        <v>0</v>
      </c>
      <c r="G49" s="91">
        <v>0</v>
      </c>
      <c r="H49" s="91">
        <v>0</v>
      </c>
      <c r="I49" s="91">
        <v>0</v>
      </c>
      <c r="J49" s="91">
        <v>0</v>
      </c>
      <c r="K49" s="91">
        <v>0</v>
      </c>
      <c r="L49" s="91">
        <v>0</v>
      </c>
      <c r="M49" s="91">
        <v>-4</v>
      </c>
    </row>
    <row r="50" spans="2:13" x14ac:dyDescent="0.3">
      <c r="B50" s="99" t="s">
        <v>93</v>
      </c>
      <c r="C50" s="93">
        <v>4</v>
      </c>
      <c r="D50" s="93">
        <v>-14</v>
      </c>
      <c r="E50" s="93">
        <v>-14</v>
      </c>
      <c r="F50" s="93">
        <v>-12</v>
      </c>
      <c r="G50" s="93">
        <v>-15</v>
      </c>
      <c r="H50" s="93">
        <v>-41</v>
      </c>
      <c r="I50" s="93">
        <v>6</v>
      </c>
      <c r="J50" s="93">
        <v>-2</v>
      </c>
      <c r="K50" s="93">
        <v>-71</v>
      </c>
      <c r="L50" s="93">
        <v>-59</v>
      </c>
      <c r="M50" s="93">
        <v>-33</v>
      </c>
    </row>
    <row r="51" spans="2:13" x14ac:dyDescent="0.3">
      <c r="B51" s="100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</row>
    <row r="52" spans="2:13" x14ac:dyDescent="0.3">
      <c r="B52" s="94" t="s">
        <v>94</v>
      </c>
      <c r="C52" s="91">
        <v>-3</v>
      </c>
      <c r="D52" s="91">
        <v>-3</v>
      </c>
      <c r="E52" s="91">
        <v>-5</v>
      </c>
      <c r="F52" s="91">
        <v>-8</v>
      </c>
      <c r="G52" s="91">
        <v>-11</v>
      </c>
      <c r="H52" s="91">
        <v>-9</v>
      </c>
      <c r="I52" s="91">
        <v>-17</v>
      </c>
      <c r="J52" s="91">
        <v>-17</v>
      </c>
      <c r="K52" s="91">
        <v>-19</v>
      </c>
      <c r="L52" s="91">
        <v>-26</v>
      </c>
      <c r="M52" s="91">
        <v>-43</v>
      </c>
    </row>
    <row r="53" spans="2:13" x14ac:dyDescent="0.3">
      <c r="B53" s="94" t="s">
        <v>95</v>
      </c>
      <c r="C53" s="91">
        <v>0</v>
      </c>
      <c r="D53" s="91">
        <v>0</v>
      </c>
      <c r="E53" s="91">
        <v>0</v>
      </c>
      <c r="F53" s="91">
        <v>0</v>
      </c>
      <c r="G53" s="91">
        <v>0</v>
      </c>
      <c r="H53" s="91">
        <v>0</v>
      </c>
      <c r="I53" s="91">
        <v>0</v>
      </c>
      <c r="J53" s="91">
        <v>0</v>
      </c>
      <c r="K53" s="91">
        <v>-4</v>
      </c>
      <c r="L53" s="91">
        <v>0</v>
      </c>
      <c r="M53" s="91">
        <v>0</v>
      </c>
    </row>
    <row r="54" spans="2:13" ht="15" thickBot="1" x14ac:dyDescent="0.35">
      <c r="B54" s="94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</row>
    <row r="55" spans="2:13" x14ac:dyDescent="0.3">
      <c r="B55" s="97" t="s">
        <v>295</v>
      </c>
      <c r="C55" s="95">
        <v>-21</v>
      </c>
      <c r="D55" s="95">
        <v>-12</v>
      </c>
      <c r="E55" s="95">
        <v>-38</v>
      </c>
      <c r="F55" s="95">
        <v>-77</v>
      </c>
      <c r="G55" s="95">
        <v>-8</v>
      </c>
      <c r="H55" s="95">
        <v>-53</v>
      </c>
      <c r="I55" s="95">
        <v>19</v>
      </c>
      <c r="J55" s="95">
        <v>-6</v>
      </c>
      <c r="K55" s="95">
        <v>-30</v>
      </c>
      <c r="L55" s="95">
        <v>-12</v>
      </c>
      <c r="M55" s="95">
        <v>-37</v>
      </c>
    </row>
    <row r="56" spans="2:13" x14ac:dyDescent="0.3">
      <c r="B56" s="96" t="s">
        <v>96</v>
      </c>
      <c r="C56" s="92">
        <v>-24</v>
      </c>
      <c r="D56" s="92">
        <v>-13</v>
      </c>
      <c r="E56" s="92">
        <v>-38</v>
      </c>
      <c r="F56" s="92">
        <v>-77</v>
      </c>
      <c r="G56" s="92">
        <v>-10</v>
      </c>
      <c r="H56" s="92">
        <v>-46</v>
      </c>
      <c r="I56" s="92">
        <v>-172</v>
      </c>
      <c r="J56" s="92">
        <v>-7</v>
      </c>
      <c r="K56" s="92">
        <v>-14</v>
      </c>
      <c r="L56" s="92">
        <v>-26</v>
      </c>
      <c r="M56" s="92">
        <v>-19</v>
      </c>
    </row>
    <row r="57" spans="2:13" x14ac:dyDescent="0.3">
      <c r="B57" s="96" t="s">
        <v>97</v>
      </c>
      <c r="C57" s="92">
        <v>0</v>
      </c>
      <c r="D57" s="92">
        <v>0</v>
      </c>
      <c r="E57" s="92">
        <v>0</v>
      </c>
      <c r="F57" s="92">
        <v>0</v>
      </c>
      <c r="G57" s="92">
        <v>1</v>
      </c>
      <c r="H57" s="92">
        <v>0</v>
      </c>
      <c r="I57" s="92">
        <v>148</v>
      </c>
      <c r="J57" s="92">
        <v>1</v>
      </c>
      <c r="K57" s="92">
        <v>1</v>
      </c>
      <c r="L57" s="92">
        <v>0</v>
      </c>
      <c r="M57" s="92">
        <v>5</v>
      </c>
    </row>
    <row r="58" spans="2:13" x14ac:dyDescent="0.3">
      <c r="B58" s="96" t="s">
        <v>98</v>
      </c>
      <c r="C58" s="92">
        <v>0</v>
      </c>
      <c r="D58" s="92">
        <v>0</v>
      </c>
      <c r="E58" s="92">
        <v>0</v>
      </c>
      <c r="F58" s="92">
        <v>0</v>
      </c>
      <c r="G58" s="92">
        <v>0</v>
      </c>
      <c r="H58" s="92">
        <v>0</v>
      </c>
      <c r="I58" s="92">
        <v>0</v>
      </c>
      <c r="J58" s="92">
        <v>0</v>
      </c>
      <c r="K58" s="92">
        <v>0</v>
      </c>
      <c r="L58" s="92">
        <v>0</v>
      </c>
      <c r="M58" s="92">
        <v>0</v>
      </c>
    </row>
    <row r="59" spans="2:13" x14ac:dyDescent="0.3">
      <c r="B59" s="96" t="s">
        <v>99</v>
      </c>
      <c r="C59" s="92">
        <v>0</v>
      </c>
      <c r="D59" s="92">
        <v>0</v>
      </c>
      <c r="E59" s="92">
        <v>0</v>
      </c>
      <c r="F59" s="92">
        <v>0</v>
      </c>
      <c r="G59" s="92">
        <v>0</v>
      </c>
      <c r="H59" s="92">
        <v>0</v>
      </c>
      <c r="I59" s="92">
        <v>0</v>
      </c>
      <c r="J59" s="92">
        <v>0</v>
      </c>
      <c r="K59" s="92">
        <v>-6</v>
      </c>
      <c r="L59" s="92">
        <v>0</v>
      </c>
      <c r="M59" s="92">
        <v>0</v>
      </c>
    </row>
    <row r="60" spans="2:13" x14ac:dyDescent="0.3">
      <c r="B60" s="96" t="s">
        <v>100</v>
      </c>
      <c r="C60" s="92">
        <v>0</v>
      </c>
      <c r="D60" s="92">
        <v>0</v>
      </c>
      <c r="E60" s="92">
        <v>0</v>
      </c>
      <c r="F60" s="92">
        <v>0</v>
      </c>
      <c r="G60" s="92">
        <v>0</v>
      </c>
      <c r="H60" s="92">
        <v>2</v>
      </c>
      <c r="I60" s="92">
        <v>34</v>
      </c>
      <c r="J60" s="92">
        <v>0</v>
      </c>
      <c r="K60" s="92">
        <v>0</v>
      </c>
      <c r="L60" s="92">
        <v>4</v>
      </c>
      <c r="M60" s="92">
        <v>1</v>
      </c>
    </row>
    <row r="61" spans="2:13" x14ac:dyDescent="0.3">
      <c r="B61" s="96" t="s">
        <v>101</v>
      </c>
      <c r="C61" s="92">
        <v>0</v>
      </c>
      <c r="D61" s="92">
        <v>0</v>
      </c>
      <c r="E61" s="92">
        <v>0</v>
      </c>
      <c r="F61" s="92">
        <v>0</v>
      </c>
      <c r="G61" s="92">
        <v>0</v>
      </c>
      <c r="H61" s="92">
        <v>0</v>
      </c>
      <c r="I61" s="92">
        <v>0</v>
      </c>
      <c r="J61" s="92">
        <v>0</v>
      </c>
      <c r="K61" s="92">
        <v>0</v>
      </c>
      <c r="L61" s="92">
        <v>0</v>
      </c>
      <c r="M61" s="92">
        <v>4</v>
      </c>
    </row>
    <row r="62" spans="2:13" x14ac:dyDescent="0.3">
      <c r="B62" s="96" t="s">
        <v>102</v>
      </c>
      <c r="C62" s="92">
        <v>0</v>
      </c>
      <c r="D62" s="92">
        <v>0</v>
      </c>
      <c r="E62" s="92">
        <v>0</v>
      </c>
      <c r="F62" s="92">
        <v>0</v>
      </c>
      <c r="G62" s="92">
        <v>0</v>
      </c>
      <c r="H62" s="92">
        <v>0</v>
      </c>
      <c r="I62" s="92">
        <v>-1</v>
      </c>
      <c r="J62" s="92">
        <v>0</v>
      </c>
      <c r="K62" s="92">
        <v>-1</v>
      </c>
      <c r="L62" s="92">
        <v>0</v>
      </c>
      <c r="M62" s="92">
        <v>0</v>
      </c>
    </row>
    <row r="63" spans="2:13" x14ac:dyDescent="0.3">
      <c r="B63" s="96" t="s">
        <v>103</v>
      </c>
      <c r="C63" s="92">
        <v>3</v>
      </c>
      <c r="D63" s="92">
        <v>0</v>
      </c>
      <c r="E63" s="92">
        <v>0</v>
      </c>
      <c r="F63" s="92">
        <v>0</v>
      </c>
      <c r="G63" s="92">
        <v>1</v>
      </c>
      <c r="H63" s="92">
        <v>-10</v>
      </c>
      <c r="I63" s="92">
        <v>10</v>
      </c>
      <c r="J63" s="92">
        <v>0</v>
      </c>
      <c r="K63" s="92">
        <v>-10</v>
      </c>
      <c r="L63" s="92">
        <v>9</v>
      </c>
      <c r="M63" s="92">
        <v>-28</v>
      </c>
    </row>
    <row r="64" spans="2:13" ht="15" thickBot="1" x14ac:dyDescent="0.35">
      <c r="B64" s="96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</row>
    <row r="65" spans="2:13" x14ac:dyDescent="0.3">
      <c r="B65" s="99" t="s">
        <v>296</v>
      </c>
      <c r="C65" s="93">
        <v>3</v>
      </c>
      <c r="D65" s="93">
        <v>5</v>
      </c>
      <c r="E65" s="93">
        <v>26</v>
      </c>
      <c r="F65" s="93">
        <v>51</v>
      </c>
      <c r="G65" s="93">
        <v>-11</v>
      </c>
      <c r="H65" s="93">
        <v>22</v>
      </c>
      <c r="I65" s="93">
        <v>-80</v>
      </c>
      <c r="J65" s="93">
        <v>-64</v>
      </c>
      <c r="K65" s="93">
        <v>17</v>
      </c>
      <c r="L65" s="93">
        <v>-36</v>
      </c>
      <c r="M65" s="93">
        <v>-4</v>
      </c>
    </row>
    <row r="66" spans="2:13" x14ac:dyDescent="0.3">
      <c r="B66" s="94" t="s">
        <v>104</v>
      </c>
      <c r="C66" s="91">
        <v>0</v>
      </c>
      <c r="D66" s="91">
        <v>0</v>
      </c>
      <c r="E66" s="91">
        <v>0</v>
      </c>
      <c r="F66" s="91">
        <v>0</v>
      </c>
      <c r="G66" s="91">
        <v>51.09</v>
      </c>
      <c r="H66" s="91">
        <v>0</v>
      </c>
      <c r="I66" s="91">
        <v>0</v>
      </c>
      <c r="J66" s="91">
        <v>0</v>
      </c>
      <c r="K66" s="91">
        <v>0</v>
      </c>
      <c r="L66" s="91">
        <v>0</v>
      </c>
      <c r="M66" s="91">
        <v>0</v>
      </c>
    </row>
    <row r="67" spans="2:13" x14ac:dyDescent="0.3">
      <c r="B67" s="94" t="s">
        <v>105</v>
      </c>
      <c r="C67" s="91">
        <v>9.89</v>
      </c>
      <c r="D67" s="91">
        <v>9.91</v>
      </c>
      <c r="E67" s="91">
        <v>32.67</v>
      </c>
      <c r="F67" s="91">
        <v>64.64</v>
      </c>
      <c r="G67" s="91">
        <v>0</v>
      </c>
      <c r="H67" s="91">
        <v>46.34</v>
      </c>
      <c r="I67" s="91">
        <v>0</v>
      </c>
      <c r="J67" s="91">
        <v>0</v>
      </c>
      <c r="K67" s="91">
        <v>34.83</v>
      </c>
      <c r="L67" s="91">
        <v>0</v>
      </c>
      <c r="M67" s="91">
        <v>0</v>
      </c>
    </row>
    <row r="68" spans="2:13" x14ac:dyDescent="0.3">
      <c r="B68" s="94" t="s">
        <v>106</v>
      </c>
      <c r="C68" s="91">
        <v>0</v>
      </c>
      <c r="D68" s="91">
        <v>0</v>
      </c>
      <c r="E68" s="91">
        <v>0</v>
      </c>
      <c r="F68" s="91">
        <v>-5.0999999999999996</v>
      </c>
      <c r="G68" s="91">
        <v>-56.01</v>
      </c>
      <c r="H68" s="91">
        <v>-16.27</v>
      </c>
      <c r="I68" s="91">
        <v>-71.13</v>
      </c>
      <c r="J68" s="91">
        <v>-60.91</v>
      </c>
      <c r="K68" s="91">
        <v>-14.57</v>
      </c>
      <c r="L68" s="91">
        <v>-32.520000000000003</v>
      </c>
      <c r="M68" s="91">
        <v>-1.45</v>
      </c>
    </row>
    <row r="69" spans="2:13" x14ac:dyDescent="0.3">
      <c r="B69" s="94" t="s">
        <v>107</v>
      </c>
      <c r="C69" s="91">
        <v>-6.69</v>
      </c>
      <c r="D69" s="91">
        <v>-4.93</v>
      </c>
      <c r="E69" s="91">
        <v>0</v>
      </c>
      <c r="F69" s="91">
        <v>-8.57</v>
      </c>
      <c r="G69" s="91">
        <v>-6.26</v>
      </c>
      <c r="H69" s="91">
        <v>-7.61</v>
      </c>
      <c r="I69" s="91">
        <v>-9.3000000000000007</v>
      </c>
      <c r="J69" s="91">
        <v>-3.5</v>
      </c>
      <c r="K69" s="91">
        <v>-3.12</v>
      </c>
      <c r="L69" s="91">
        <v>-3.31</v>
      </c>
      <c r="M69" s="91">
        <v>-2.5</v>
      </c>
    </row>
    <row r="70" spans="2:13" x14ac:dyDescent="0.3">
      <c r="B70" s="94" t="s">
        <v>108</v>
      </c>
      <c r="C70" s="91">
        <v>0</v>
      </c>
      <c r="D70" s="91">
        <v>0</v>
      </c>
      <c r="E70" s="91">
        <v>-6.46</v>
      </c>
      <c r="F70" s="91">
        <v>0</v>
      </c>
      <c r="G70" s="91">
        <v>0</v>
      </c>
      <c r="H70" s="91">
        <v>0</v>
      </c>
      <c r="I70" s="91">
        <v>0</v>
      </c>
      <c r="J70" s="91">
        <v>0</v>
      </c>
      <c r="K70" s="91">
        <v>0</v>
      </c>
      <c r="L70" s="91">
        <v>0</v>
      </c>
      <c r="M70" s="91">
        <v>0</v>
      </c>
    </row>
    <row r="71" spans="2:13" ht="15" thickBot="1" x14ac:dyDescent="0.35">
      <c r="B71" s="94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</row>
    <row r="72" spans="2:13" x14ac:dyDescent="0.3">
      <c r="B72" s="97" t="s">
        <v>50</v>
      </c>
      <c r="C72" s="95">
        <v>2</v>
      </c>
      <c r="D72" s="95">
        <v>-2</v>
      </c>
      <c r="E72" s="95">
        <v>0</v>
      </c>
      <c r="F72" s="95">
        <v>0</v>
      </c>
      <c r="G72" s="95">
        <v>0</v>
      </c>
      <c r="H72" s="95">
        <v>-2</v>
      </c>
      <c r="I72" s="95">
        <v>5</v>
      </c>
      <c r="J72" s="95">
        <v>9</v>
      </c>
      <c r="K72" s="95">
        <v>-7</v>
      </c>
      <c r="L72" s="95">
        <v>18</v>
      </c>
      <c r="M72" s="95">
        <v>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9EE73-92C7-45B2-859E-199D97396FE7}">
  <sheetPr>
    <tabColor rgb="FFFF0000"/>
  </sheetPr>
  <dimension ref="A1:L93"/>
  <sheetViews>
    <sheetView topLeftCell="A47" workbookViewId="0">
      <selection activeCell="B31" sqref="B31"/>
    </sheetView>
  </sheetViews>
  <sheetFormatPr defaultColWidth="9.109375" defaultRowHeight="13.2" x14ac:dyDescent="0.25"/>
  <cols>
    <col min="1" max="1" width="25.109375" style="2" bestFit="1" customWidth="1"/>
    <col min="2" max="2" width="13.88671875" style="2" bestFit="1" customWidth="1"/>
    <col min="3" max="8" width="9.88671875" style="2" bestFit="1" customWidth="1"/>
    <col min="9" max="11" width="10.88671875" style="2" bestFit="1" customWidth="1"/>
    <col min="12" max="16384" width="9.109375" style="2"/>
  </cols>
  <sheetData>
    <row r="1" spans="1:11" s="1" customFormat="1" x14ac:dyDescent="0.25">
      <c r="A1" s="1" t="s">
        <v>0</v>
      </c>
      <c r="B1" s="1" t="s">
        <v>1</v>
      </c>
      <c r="E1" s="171" t="str">
        <f>IF(B2&lt;&gt;B3, "A NEW VERSION OF THE WORKSHEET IS AVAILABLE", "")</f>
        <v/>
      </c>
      <c r="F1" s="171"/>
      <c r="G1" s="171"/>
      <c r="H1" s="171"/>
      <c r="I1" s="171"/>
      <c r="J1" s="171"/>
      <c r="K1" s="171"/>
    </row>
    <row r="2" spans="1:11" x14ac:dyDescent="0.25">
      <c r="A2" s="1" t="s">
        <v>2</v>
      </c>
      <c r="B2" s="2">
        <v>2.1</v>
      </c>
      <c r="E2" s="172" t="s">
        <v>3</v>
      </c>
      <c r="F2" s="172"/>
      <c r="G2" s="172"/>
      <c r="H2" s="172"/>
      <c r="I2" s="172"/>
      <c r="J2" s="172"/>
      <c r="K2" s="172"/>
    </row>
    <row r="3" spans="1:11" x14ac:dyDescent="0.25">
      <c r="A3" s="1" t="s">
        <v>4</v>
      </c>
      <c r="B3" s="2">
        <v>2.1</v>
      </c>
    </row>
    <row r="4" spans="1:11" x14ac:dyDescent="0.25">
      <c r="A4" s="1"/>
    </row>
    <row r="5" spans="1:11" x14ac:dyDescent="0.25">
      <c r="A5" s="1" t="s">
        <v>5</v>
      </c>
    </row>
    <row r="6" spans="1:11" x14ac:dyDescent="0.25">
      <c r="A6" s="2" t="s">
        <v>6</v>
      </c>
      <c r="B6" s="2">
        <f>IF(B9&gt;0, B9/B8, 0)</f>
        <v>1.6947995469988675</v>
      </c>
    </row>
    <row r="7" spans="1:11" x14ac:dyDescent="0.25">
      <c r="A7" s="2" t="s">
        <v>7</v>
      </c>
      <c r="B7" s="3">
        <v>5</v>
      </c>
    </row>
    <row r="8" spans="1:11" x14ac:dyDescent="0.25">
      <c r="A8" s="2" t="s">
        <v>8</v>
      </c>
      <c r="B8" s="3">
        <v>2207.5</v>
      </c>
    </row>
    <row r="9" spans="1:11" x14ac:dyDescent="0.25">
      <c r="A9" s="2" t="s">
        <v>9</v>
      </c>
      <c r="B9" s="3">
        <v>3741.27</v>
      </c>
    </row>
    <row r="15" spans="1:11" x14ac:dyDescent="0.25">
      <c r="A15" s="1" t="s">
        <v>10</v>
      </c>
    </row>
    <row r="16" spans="1:11" s="6" customFormat="1" x14ac:dyDescent="0.25">
      <c r="A16" s="4" t="s">
        <v>11</v>
      </c>
      <c r="B16" s="5">
        <v>42460</v>
      </c>
      <c r="C16" s="5">
        <v>42825</v>
      </c>
      <c r="D16" s="5">
        <v>43190</v>
      </c>
      <c r="E16" s="5">
        <v>43555</v>
      </c>
      <c r="F16" s="5">
        <v>43921</v>
      </c>
      <c r="G16" s="5">
        <v>44286</v>
      </c>
      <c r="H16" s="5">
        <v>44651</v>
      </c>
      <c r="I16" s="5">
        <v>45016</v>
      </c>
      <c r="J16" s="5">
        <v>45382</v>
      </c>
      <c r="K16" s="5">
        <v>45747</v>
      </c>
    </row>
    <row r="17" spans="1:11" x14ac:dyDescent="0.25">
      <c r="A17" s="2" t="s">
        <v>12</v>
      </c>
      <c r="B17" s="3">
        <v>264.26</v>
      </c>
      <c r="C17" s="3">
        <v>294.35000000000002</v>
      </c>
      <c r="D17" s="3">
        <v>339.08</v>
      </c>
      <c r="E17" s="3">
        <v>460.62</v>
      </c>
      <c r="F17" s="3">
        <v>462.15</v>
      </c>
      <c r="G17" s="3">
        <v>479.53</v>
      </c>
      <c r="H17" s="3">
        <v>659.35</v>
      </c>
      <c r="I17" s="3">
        <v>952.13</v>
      </c>
      <c r="J17" s="3">
        <v>914.08</v>
      </c>
      <c r="K17" s="3">
        <v>1025.0899999999999</v>
      </c>
    </row>
    <row r="18" spans="1:11" ht="14.4" x14ac:dyDescent="0.3">
      <c r="A18" s="2" t="s">
        <v>13</v>
      </c>
      <c r="B18">
        <v>145.47999999999999</v>
      </c>
      <c r="C18">
        <v>153.79</v>
      </c>
      <c r="D18">
        <v>186.09</v>
      </c>
      <c r="E18">
        <v>260.76</v>
      </c>
      <c r="F18">
        <v>241.92</v>
      </c>
      <c r="G18">
        <v>251.48</v>
      </c>
      <c r="H18">
        <v>390.83</v>
      </c>
      <c r="I18">
        <v>554.16</v>
      </c>
      <c r="J18">
        <v>459.2</v>
      </c>
      <c r="K18">
        <v>562.25</v>
      </c>
    </row>
    <row r="19" spans="1:11" ht="14.4" x14ac:dyDescent="0.3">
      <c r="A19" s="2" t="s">
        <v>14</v>
      </c>
      <c r="B19">
        <v>3.69</v>
      </c>
      <c r="C19">
        <v>0.28999999999999998</v>
      </c>
      <c r="D19">
        <v>3.44</v>
      </c>
      <c r="E19">
        <v>0.77</v>
      </c>
      <c r="F19">
        <v>-7.14</v>
      </c>
      <c r="G19">
        <v>4.93</v>
      </c>
      <c r="H19">
        <v>15.32</v>
      </c>
      <c r="I19">
        <v>23.16</v>
      </c>
      <c r="J19">
        <v>-14.93</v>
      </c>
      <c r="K19">
        <v>4.8899999999999997</v>
      </c>
    </row>
    <row r="20" spans="1:11" x14ac:dyDescent="0.25">
      <c r="A20" s="2" t="s">
        <v>15</v>
      </c>
      <c r="B20" s="3">
        <v>12.31</v>
      </c>
      <c r="C20" s="3">
        <v>14.06</v>
      </c>
      <c r="D20" s="3">
        <v>19.850000000000001</v>
      </c>
      <c r="E20" s="3">
        <v>29.16</v>
      </c>
      <c r="F20" s="3">
        <v>33</v>
      </c>
      <c r="G20" s="3">
        <v>23.63</v>
      </c>
      <c r="H20" s="3">
        <v>37.159999999999997</v>
      </c>
      <c r="I20" s="3">
        <v>52.72</v>
      </c>
      <c r="J20" s="3">
        <v>44.27</v>
      </c>
      <c r="K20" s="3">
        <v>46.49</v>
      </c>
    </row>
    <row r="21" spans="1:11" x14ac:dyDescent="0.25">
      <c r="A21" s="2" t="s">
        <v>16</v>
      </c>
      <c r="B21" s="3">
        <v>19.420000000000002</v>
      </c>
      <c r="C21" s="3">
        <v>14.79</v>
      </c>
      <c r="D21" s="3">
        <v>23.27</v>
      </c>
      <c r="E21" s="3">
        <v>23.18</v>
      </c>
      <c r="F21" s="3">
        <v>24.11</v>
      </c>
      <c r="G21" s="3">
        <v>28.16</v>
      </c>
      <c r="H21" s="3">
        <v>27.2</v>
      </c>
      <c r="I21" s="3">
        <v>38.94</v>
      </c>
      <c r="J21" s="3">
        <v>43.56</v>
      </c>
      <c r="K21" s="3">
        <v>47.96</v>
      </c>
    </row>
    <row r="22" spans="1:11" x14ac:dyDescent="0.25">
      <c r="A22" s="2" t="s">
        <v>17</v>
      </c>
      <c r="B22" s="3">
        <v>18.670000000000002</v>
      </c>
      <c r="C22" s="3">
        <v>26.61</v>
      </c>
      <c r="D22" s="3">
        <v>30.17</v>
      </c>
      <c r="E22" s="3">
        <v>30.3</v>
      </c>
      <c r="F22" s="3">
        <v>37.54</v>
      </c>
      <c r="G22" s="3">
        <v>38.25</v>
      </c>
      <c r="H22" s="3">
        <v>54.78</v>
      </c>
      <c r="I22" s="3">
        <v>68.75</v>
      </c>
      <c r="J22" s="3">
        <v>75.06</v>
      </c>
      <c r="K22" s="3">
        <v>83.54</v>
      </c>
    </row>
    <row r="23" spans="1:11" x14ac:dyDescent="0.25">
      <c r="A23" s="2" t="s">
        <v>18</v>
      </c>
      <c r="B23" s="3">
        <v>42.69</v>
      </c>
      <c r="C23" s="3">
        <v>36.61</v>
      </c>
      <c r="D23" s="3">
        <v>30.06</v>
      </c>
      <c r="E23" s="3">
        <v>34.47</v>
      </c>
      <c r="F23" s="3">
        <v>35.25</v>
      </c>
      <c r="G23" s="3">
        <v>41.33</v>
      </c>
      <c r="H23" s="3">
        <v>57.39</v>
      </c>
      <c r="I23" s="3">
        <v>100.35</v>
      </c>
      <c r="J23" s="3">
        <v>91.05</v>
      </c>
      <c r="K23" s="3">
        <v>101.38</v>
      </c>
    </row>
    <row r="24" spans="1:11" x14ac:dyDescent="0.25">
      <c r="A24" s="2" t="s">
        <v>19</v>
      </c>
      <c r="B24" s="3">
        <v>-0.81</v>
      </c>
      <c r="C24" s="3">
        <v>2.95</v>
      </c>
      <c r="D24" s="3">
        <v>3.55</v>
      </c>
      <c r="E24" s="3">
        <v>3.35</v>
      </c>
      <c r="F24" s="3">
        <v>3.47</v>
      </c>
      <c r="G24" s="3">
        <v>2.5</v>
      </c>
      <c r="H24" s="3">
        <v>3.67</v>
      </c>
      <c r="I24" s="3">
        <v>5.56</v>
      </c>
      <c r="J24" s="3">
        <v>1.84</v>
      </c>
      <c r="K24" s="3">
        <v>2.91</v>
      </c>
    </row>
    <row r="25" spans="1:11" x14ac:dyDescent="0.25">
      <c r="A25" s="2" t="s">
        <v>20</v>
      </c>
      <c r="B25" s="3">
        <v>0.6</v>
      </c>
      <c r="C25" s="3">
        <v>1.06</v>
      </c>
      <c r="D25" s="3">
        <v>2.06</v>
      </c>
      <c r="E25" s="3">
        <v>1.34</v>
      </c>
      <c r="F25" s="3">
        <v>-14.33</v>
      </c>
      <c r="G25" s="3">
        <v>1.03</v>
      </c>
      <c r="H25" s="3">
        <v>7.92</v>
      </c>
      <c r="I25" s="3">
        <v>1.4</v>
      </c>
      <c r="J25" s="3">
        <v>5.55</v>
      </c>
      <c r="K25" s="3">
        <v>7.44</v>
      </c>
    </row>
    <row r="26" spans="1:11" x14ac:dyDescent="0.25">
      <c r="A26" s="2" t="s">
        <v>21</v>
      </c>
      <c r="B26" s="3">
        <v>4.6500000000000004</v>
      </c>
      <c r="C26" s="3">
        <v>5.7</v>
      </c>
      <c r="D26" s="3">
        <v>10.83</v>
      </c>
      <c r="E26" s="3">
        <v>18.21</v>
      </c>
      <c r="F26" s="3">
        <v>20.98</v>
      </c>
      <c r="G26" s="3">
        <v>23.15</v>
      </c>
      <c r="H26" s="3">
        <v>23.26</v>
      </c>
      <c r="I26" s="3">
        <v>19.989999999999998</v>
      </c>
      <c r="J26" s="3">
        <v>22.26</v>
      </c>
      <c r="K26" s="3">
        <v>23.87</v>
      </c>
    </row>
    <row r="27" spans="1:11" ht="14.4" x14ac:dyDescent="0.3">
      <c r="A27" s="2" t="s">
        <v>22</v>
      </c>
      <c r="B27" s="3">
        <v>6.46</v>
      </c>
      <c r="C27" s="3">
        <v>10.02</v>
      </c>
      <c r="D27" s="3">
        <v>7.7</v>
      </c>
      <c r="E27" s="3">
        <v>11.41</v>
      </c>
      <c r="F27" s="3">
        <v>10.9</v>
      </c>
      <c r="G27" s="3">
        <v>6.02</v>
      </c>
      <c r="H27" s="3">
        <v>7.83</v>
      </c>
      <c r="I27" s="3">
        <v>8.19</v>
      </c>
      <c r="J27">
        <v>3.19</v>
      </c>
      <c r="K27">
        <v>4.18</v>
      </c>
    </row>
    <row r="28" spans="1:11" x14ac:dyDescent="0.25">
      <c r="A28" s="2" t="s">
        <v>23</v>
      </c>
      <c r="B28" s="3">
        <v>19.68</v>
      </c>
      <c r="C28" s="3">
        <v>31.17</v>
      </c>
      <c r="D28" s="3">
        <v>33.06</v>
      </c>
      <c r="E28" s="3">
        <v>51.89</v>
      </c>
      <c r="F28" s="3">
        <v>33.51</v>
      </c>
      <c r="G28" s="3">
        <v>70.97</v>
      </c>
      <c r="H28" s="3">
        <v>80.47</v>
      </c>
      <c r="I28" s="3">
        <v>128.03</v>
      </c>
      <c r="J28" s="3">
        <v>164.27</v>
      </c>
      <c r="K28" s="3">
        <v>164.84</v>
      </c>
    </row>
    <row r="29" spans="1:11" x14ac:dyDescent="0.25">
      <c r="A29" s="2" t="s">
        <v>24</v>
      </c>
      <c r="B29" s="3">
        <v>7.53</v>
      </c>
      <c r="C29" s="3">
        <v>11.53</v>
      </c>
      <c r="D29" s="3">
        <v>13.01</v>
      </c>
      <c r="E29" s="3">
        <v>13.07</v>
      </c>
      <c r="F29" s="3">
        <v>14.6</v>
      </c>
      <c r="G29" s="3">
        <v>15.67</v>
      </c>
      <c r="H29" s="3">
        <v>19.46</v>
      </c>
      <c r="I29" s="3">
        <v>32.08</v>
      </c>
      <c r="J29" s="3">
        <v>35.869999999999997</v>
      </c>
      <c r="K29" s="3">
        <v>43.01</v>
      </c>
    </row>
    <row r="30" spans="1:11" x14ac:dyDescent="0.25">
      <c r="A30" s="2" t="s">
        <v>25</v>
      </c>
      <c r="B30" s="3">
        <v>12.15</v>
      </c>
      <c r="C30" s="3">
        <v>19.64</v>
      </c>
      <c r="D30" s="3">
        <v>20.059999999999999</v>
      </c>
      <c r="E30" s="3">
        <v>38.82</v>
      </c>
      <c r="F30" s="3">
        <v>18.91</v>
      </c>
      <c r="G30" s="3">
        <v>55.3</v>
      </c>
      <c r="H30" s="3">
        <v>61.01</v>
      </c>
      <c r="I30" s="3">
        <v>95.95</v>
      </c>
      <c r="J30" s="3">
        <v>128.4</v>
      </c>
      <c r="K30" s="3">
        <v>121.83</v>
      </c>
    </row>
    <row r="31" spans="1:11" x14ac:dyDescent="0.25">
      <c r="A31" s="2" t="s">
        <v>26</v>
      </c>
      <c r="B31" s="3"/>
      <c r="C31" s="3"/>
      <c r="D31" s="3"/>
      <c r="E31" s="3"/>
      <c r="F31" s="3"/>
      <c r="G31" s="3"/>
      <c r="H31" s="3">
        <v>4.24</v>
      </c>
      <c r="I31" s="3"/>
      <c r="J31" s="3">
        <v>4.24</v>
      </c>
      <c r="K31" s="3"/>
    </row>
    <row r="40" spans="1:11" x14ac:dyDescent="0.25">
      <c r="A40" s="1" t="s">
        <v>27</v>
      </c>
    </row>
    <row r="41" spans="1:11" s="6" customFormat="1" x14ac:dyDescent="0.25">
      <c r="A41" s="4" t="s">
        <v>11</v>
      </c>
      <c r="B41" s="5">
        <v>45107</v>
      </c>
      <c r="C41" s="5">
        <v>45199</v>
      </c>
      <c r="D41" s="5">
        <v>45291</v>
      </c>
      <c r="E41" s="5">
        <v>45382</v>
      </c>
      <c r="F41" s="5">
        <v>45473</v>
      </c>
      <c r="G41" s="5">
        <v>45565</v>
      </c>
      <c r="H41" s="5">
        <v>45657</v>
      </c>
      <c r="I41" s="5">
        <v>45747</v>
      </c>
      <c r="J41" s="5">
        <v>45838</v>
      </c>
      <c r="K41" s="5">
        <v>45930</v>
      </c>
    </row>
    <row r="42" spans="1:11" x14ac:dyDescent="0.25">
      <c r="A42" s="2" t="s">
        <v>12</v>
      </c>
      <c r="B42" s="3">
        <v>225.68</v>
      </c>
      <c r="C42" s="3">
        <v>233.94</v>
      </c>
      <c r="D42" s="3">
        <v>214.58</v>
      </c>
      <c r="E42" s="3">
        <v>239.88</v>
      </c>
      <c r="F42" s="3">
        <v>242.59</v>
      </c>
      <c r="G42" s="3">
        <v>262.7</v>
      </c>
      <c r="H42" s="3">
        <v>254.52</v>
      </c>
      <c r="I42" s="3">
        <v>265.27999999999997</v>
      </c>
      <c r="J42" s="3">
        <v>282.98</v>
      </c>
      <c r="K42" s="3">
        <v>292.39999999999998</v>
      </c>
    </row>
    <row r="43" spans="1:11" x14ac:dyDescent="0.25">
      <c r="A43" s="2" t="s">
        <v>28</v>
      </c>
      <c r="B43" s="3">
        <v>183.91</v>
      </c>
      <c r="C43" s="3">
        <v>186.68</v>
      </c>
      <c r="D43" s="3">
        <v>166.78</v>
      </c>
      <c r="E43" s="3">
        <v>192.2</v>
      </c>
      <c r="F43" s="3">
        <v>200.73</v>
      </c>
      <c r="G43" s="3">
        <v>208.32</v>
      </c>
      <c r="H43" s="3">
        <v>208.53</v>
      </c>
      <c r="I43" s="3">
        <v>222.34</v>
      </c>
      <c r="J43" s="3">
        <v>230.05</v>
      </c>
      <c r="K43" s="3">
        <v>235.81</v>
      </c>
    </row>
    <row r="44" spans="1:11" x14ac:dyDescent="0.25">
      <c r="A44" s="2" t="s">
        <v>20</v>
      </c>
      <c r="B44" s="3">
        <v>0.51</v>
      </c>
      <c r="C44" s="3">
        <v>1.89</v>
      </c>
      <c r="D44" s="3">
        <v>1.95</v>
      </c>
      <c r="E44" s="3">
        <v>0.17</v>
      </c>
      <c r="F44" s="3">
        <v>2.62</v>
      </c>
      <c r="G44" s="3">
        <v>1.9</v>
      </c>
      <c r="H44" s="3">
        <v>1.76</v>
      </c>
      <c r="I44" s="3">
        <v>1.1599999999999999</v>
      </c>
      <c r="J44" s="3">
        <v>0.77</v>
      </c>
      <c r="K44" s="3">
        <v>0.91</v>
      </c>
    </row>
    <row r="45" spans="1:11" x14ac:dyDescent="0.25">
      <c r="A45" s="2" t="s">
        <v>21</v>
      </c>
      <c r="B45" s="3">
        <v>5.12</v>
      </c>
      <c r="C45" s="3">
        <v>5.26</v>
      </c>
      <c r="D45" s="3">
        <v>5.56</v>
      </c>
      <c r="E45" s="3">
        <v>6.33</v>
      </c>
      <c r="F45" s="3">
        <v>6.12</v>
      </c>
      <c r="G45" s="3">
        <v>5.43</v>
      </c>
      <c r="H45" s="3">
        <v>5.86</v>
      </c>
      <c r="I45" s="3">
        <v>6.45</v>
      </c>
      <c r="J45" s="3">
        <v>4.96</v>
      </c>
      <c r="K45" s="3">
        <v>4.82</v>
      </c>
    </row>
    <row r="46" spans="1:11" ht="14.4" x14ac:dyDescent="0.3">
      <c r="A46" s="2" t="s">
        <v>22</v>
      </c>
      <c r="B46">
        <v>0.71</v>
      </c>
      <c r="C46">
        <v>0.61</v>
      </c>
      <c r="D46">
        <v>0.71</v>
      </c>
      <c r="E46">
        <v>0.47</v>
      </c>
      <c r="F46">
        <v>0.52</v>
      </c>
      <c r="G46">
        <v>4.0199999999999996</v>
      </c>
      <c r="H46">
        <v>-0.56000000000000005</v>
      </c>
      <c r="I46">
        <v>-7.0000000000000007E-2</v>
      </c>
      <c r="J46">
        <v>7.49</v>
      </c>
      <c r="K46">
        <v>1.87</v>
      </c>
    </row>
    <row r="47" spans="1:11" x14ac:dyDescent="0.25">
      <c r="A47" s="2" t="s">
        <v>23</v>
      </c>
      <c r="B47" s="3">
        <v>36.450000000000003</v>
      </c>
      <c r="C47" s="3">
        <v>43.28</v>
      </c>
      <c r="D47" s="3">
        <v>43.48</v>
      </c>
      <c r="E47" s="3">
        <v>41.05</v>
      </c>
      <c r="F47" s="3">
        <v>37.840000000000003</v>
      </c>
      <c r="G47" s="3">
        <v>46.83</v>
      </c>
      <c r="H47" s="3">
        <v>42.45</v>
      </c>
      <c r="I47" s="3">
        <v>37.72</v>
      </c>
      <c r="J47" s="3">
        <v>41.25</v>
      </c>
      <c r="K47" s="3">
        <v>50.81</v>
      </c>
    </row>
    <row r="48" spans="1:11" x14ac:dyDescent="0.25">
      <c r="A48" s="2" t="s">
        <v>24</v>
      </c>
      <c r="B48" s="3">
        <v>8.69</v>
      </c>
      <c r="C48" s="3">
        <v>11.53</v>
      </c>
      <c r="D48" s="3">
        <v>12.17</v>
      </c>
      <c r="E48" s="3">
        <v>3.49</v>
      </c>
      <c r="F48" s="3">
        <v>9.5</v>
      </c>
      <c r="G48" s="3">
        <v>12.73</v>
      </c>
      <c r="H48" s="3">
        <v>12.04</v>
      </c>
      <c r="I48" s="3">
        <v>8.74</v>
      </c>
      <c r="J48" s="3">
        <v>12.99</v>
      </c>
      <c r="K48" s="3">
        <v>13.48</v>
      </c>
    </row>
    <row r="49" spans="1:11" x14ac:dyDescent="0.25">
      <c r="A49" s="2" t="s">
        <v>25</v>
      </c>
      <c r="B49" s="3">
        <v>27.77</v>
      </c>
      <c r="C49" s="3">
        <v>31.74</v>
      </c>
      <c r="D49" s="3">
        <v>31.32</v>
      </c>
      <c r="E49" s="3">
        <v>37.56</v>
      </c>
      <c r="F49" s="3">
        <v>28.35</v>
      </c>
      <c r="G49" s="3">
        <v>34.1</v>
      </c>
      <c r="H49" s="3">
        <v>30.41</v>
      </c>
      <c r="I49" s="3">
        <v>28.97</v>
      </c>
      <c r="J49" s="3">
        <v>28.26</v>
      </c>
      <c r="K49" s="3">
        <v>37.33</v>
      </c>
    </row>
    <row r="50" spans="1:11" x14ac:dyDescent="0.25">
      <c r="A50" s="2" t="s">
        <v>29</v>
      </c>
      <c r="B50" s="3">
        <v>41.77</v>
      </c>
      <c r="C50" s="3">
        <v>47.26</v>
      </c>
      <c r="D50" s="3">
        <v>47.8</v>
      </c>
      <c r="E50" s="3">
        <v>47.68</v>
      </c>
      <c r="F50" s="3">
        <v>41.86</v>
      </c>
      <c r="G50" s="3">
        <v>54.38</v>
      </c>
      <c r="H50" s="3">
        <v>45.99</v>
      </c>
      <c r="I50" s="3">
        <v>42.94</v>
      </c>
      <c r="J50" s="3">
        <v>52.93</v>
      </c>
      <c r="K50" s="3">
        <v>56.59</v>
      </c>
    </row>
    <row r="55" spans="1:11" x14ac:dyDescent="0.25">
      <c r="A55" s="1" t="s">
        <v>30</v>
      </c>
    </row>
    <row r="56" spans="1:11" s="6" customFormat="1" x14ac:dyDescent="0.25">
      <c r="A56" s="4" t="s">
        <v>11</v>
      </c>
      <c r="B56" s="5">
        <v>42460</v>
      </c>
      <c r="C56" s="5">
        <v>42825</v>
      </c>
      <c r="D56" s="5">
        <v>43190</v>
      </c>
      <c r="E56" s="5">
        <v>43555</v>
      </c>
      <c r="F56" s="5">
        <v>43921</v>
      </c>
      <c r="G56" s="5">
        <v>44286</v>
      </c>
      <c r="H56" s="5">
        <v>44651</v>
      </c>
      <c r="I56" s="5">
        <v>45016</v>
      </c>
      <c r="J56" s="5">
        <v>45382</v>
      </c>
      <c r="K56" s="5">
        <v>45747</v>
      </c>
    </row>
    <row r="57" spans="1:11" x14ac:dyDescent="0.25">
      <c r="A57" s="2" t="s">
        <v>31</v>
      </c>
      <c r="B57" s="3">
        <v>7.32</v>
      </c>
      <c r="C57" s="3">
        <v>7.32</v>
      </c>
      <c r="D57" s="3">
        <v>8.17</v>
      </c>
      <c r="E57" s="3">
        <v>8.17</v>
      </c>
      <c r="F57" s="3">
        <v>8.4700000000000006</v>
      </c>
      <c r="G57" s="3">
        <v>8.4700000000000006</v>
      </c>
      <c r="H57" s="3">
        <v>8.4700000000000006</v>
      </c>
      <c r="I57" s="3">
        <v>8.4700000000000006</v>
      </c>
      <c r="J57" s="3">
        <v>8.4700000000000006</v>
      </c>
      <c r="K57" s="3">
        <v>8.4700000000000006</v>
      </c>
    </row>
    <row r="58" spans="1:11" x14ac:dyDescent="0.25">
      <c r="A58" s="2" t="s">
        <v>32</v>
      </c>
      <c r="B58" s="3">
        <v>48.88</v>
      </c>
      <c r="C58" s="3">
        <v>69.209999999999994</v>
      </c>
      <c r="D58" s="3">
        <v>137.47</v>
      </c>
      <c r="E58" s="3">
        <v>177.35</v>
      </c>
      <c r="F58" s="3">
        <v>195.79</v>
      </c>
      <c r="G58" s="3">
        <v>251.21</v>
      </c>
      <c r="H58" s="3">
        <v>307.97000000000003</v>
      </c>
      <c r="I58" s="3">
        <v>403.92</v>
      </c>
      <c r="J58" s="3">
        <v>528.09</v>
      </c>
      <c r="K58" s="3">
        <v>649.15</v>
      </c>
    </row>
    <row r="59" spans="1:11" ht="14.4" x14ac:dyDescent="0.3">
      <c r="A59" s="2" t="s">
        <v>33</v>
      </c>
      <c r="B59">
        <v>116.78</v>
      </c>
      <c r="C59">
        <v>184</v>
      </c>
      <c r="D59">
        <v>126.8</v>
      </c>
      <c r="E59">
        <v>189.05</v>
      </c>
      <c r="F59">
        <v>118.48</v>
      </c>
      <c r="G59">
        <v>59.15</v>
      </c>
      <c r="H59">
        <v>79.42</v>
      </c>
      <c r="I59">
        <v>46.93</v>
      </c>
      <c r="J59"/>
      <c r="K59">
        <v>36.07</v>
      </c>
    </row>
    <row r="60" spans="1:11" x14ac:dyDescent="0.25">
      <c r="A60" s="2" t="s">
        <v>34</v>
      </c>
      <c r="B60" s="3">
        <v>38.119999999999997</v>
      </c>
      <c r="C60" s="3">
        <v>42.63</v>
      </c>
      <c r="D60" s="3">
        <v>55.76</v>
      </c>
      <c r="E60" s="3">
        <v>63.58</v>
      </c>
      <c r="F60" s="3">
        <v>72.56</v>
      </c>
      <c r="G60" s="3">
        <v>88.55</v>
      </c>
      <c r="H60" s="3">
        <v>93.41</v>
      </c>
      <c r="I60" s="3">
        <v>79.09</v>
      </c>
      <c r="J60" s="3">
        <v>69.39</v>
      </c>
      <c r="K60" s="3">
        <v>84.83</v>
      </c>
    </row>
    <row r="61" spans="1:11" s="1" customFormat="1" x14ac:dyDescent="0.25">
      <c r="A61" s="1" t="s">
        <v>35</v>
      </c>
      <c r="B61" s="3">
        <v>211.1</v>
      </c>
      <c r="C61" s="3">
        <v>303.16000000000003</v>
      </c>
      <c r="D61" s="3">
        <v>328.2</v>
      </c>
      <c r="E61" s="3">
        <v>438.15</v>
      </c>
      <c r="F61" s="3">
        <v>395.3</v>
      </c>
      <c r="G61" s="3">
        <v>407.38</v>
      </c>
      <c r="H61" s="3">
        <v>489.27</v>
      </c>
      <c r="I61" s="3">
        <v>538.41</v>
      </c>
      <c r="J61" s="3">
        <v>605.95000000000005</v>
      </c>
      <c r="K61" s="3">
        <v>778.52</v>
      </c>
    </row>
    <row r="62" spans="1:11" x14ac:dyDescent="0.25">
      <c r="A62" s="2" t="s">
        <v>36</v>
      </c>
      <c r="B62" s="3">
        <v>56.29</v>
      </c>
      <c r="C62" s="3">
        <v>79.680000000000007</v>
      </c>
      <c r="D62" s="3">
        <v>185.67</v>
      </c>
      <c r="E62" s="3">
        <v>233.47</v>
      </c>
      <c r="F62" s="3">
        <v>194.95</v>
      </c>
      <c r="G62" s="3">
        <v>187.82</v>
      </c>
      <c r="H62" s="3">
        <v>178.72</v>
      </c>
      <c r="I62" s="3">
        <v>171.79</v>
      </c>
      <c r="J62" s="3">
        <v>175.04</v>
      </c>
      <c r="K62" s="3">
        <v>177.23</v>
      </c>
    </row>
    <row r="63" spans="1:11" x14ac:dyDescent="0.25">
      <c r="A63" s="2" t="s">
        <v>37</v>
      </c>
      <c r="B63" s="3">
        <v>56.05</v>
      </c>
      <c r="C63" s="3">
        <v>108.71</v>
      </c>
      <c r="D63" s="3"/>
      <c r="E63" s="3">
        <v>12.68</v>
      </c>
      <c r="F63" s="3">
        <v>11.19</v>
      </c>
      <c r="G63" s="3"/>
      <c r="H63" s="3"/>
      <c r="I63" s="3">
        <v>12.83</v>
      </c>
      <c r="J63" s="3">
        <v>1.65</v>
      </c>
      <c r="K63" s="3">
        <v>83.05</v>
      </c>
    </row>
    <row r="64" spans="1:11" ht="14.4" x14ac:dyDescent="0.3">
      <c r="A64" s="2" t="s">
        <v>38</v>
      </c>
      <c r="B64" s="3"/>
      <c r="C64"/>
      <c r="D64" s="3"/>
      <c r="E64" s="3">
        <v>1.1399999999999999</v>
      </c>
      <c r="F64" s="3">
        <v>1.5</v>
      </c>
      <c r="G64" s="3">
        <v>1.5</v>
      </c>
      <c r="H64" s="3">
        <v>2.5</v>
      </c>
      <c r="I64" s="3">
        <v>2.5</v>
      </c>
      <c r="J64" s="3">
        <v>1.36</v>
      </c>
      <c r="K64" s="3">
        <v>1.36</v>
      </c>
    </row>
    <row r="65" spans="1:11" x14ac:dyDescent="0.25">
      <c r="A65" s="2" t="s">
        <v>39</v>
      </c>
      <c r="B65" s="3">
        <v>98.76</v>
      </c>
      <c r="C65" s="3">
        <v>114.77</v>
      </c>
      <c r="D65" s="3">
        <v>142.53</v>
      </c>
      <c r="E65" s="3">
        <v>190.86</v>
      </c>
      <c r="F65" s="3">
        <v>187.66</v>
      </c>
      <c r="G65" s="3">
        <v>218.06</v>
      </c>
      <c r="H65" s="3">
        <v>308.05</v>
      </c>
      <c r="I65" s="3">
        <v>351.29</v>
      </c>
      <c r="J65" s="3">
        <v>427.9</v>
      </c>
      <c r="K65" s="3">
        <v>516.88</v>
      </c>
    </row>
    <row r="66" spans="1:11" s="1" customFormat="1" x14ac:dyDescent="0.25">
      <c r="A66" s="1" t="s">
        <v>35</v>
      </c>
      <c r="B66" s="3">
        <v>211.1</v>
      </c>
      <c r="C66" s="3">
        <v>303.16000000000003</v>
      </c>
      <c r="D66" s="3">
        <v>328.2</v>
      </c>
      <c r="E66" s="3">
        <v>438.15</v>
      </c>
      <c r="F66" s="3">
        <v>395.3</v>
      </c>
      <c r="G66" s="3">
        <v>407.38</v>
      </c>
      <c r="H66" s="3">
        <v>489.27</v>
      </c>
      <c r="I66" s="3">
        <v>538.41</v>
      </c>
      <c r="J66" s="3">
        <v>605.95000000000005</v>
      </c>
      <c r="K66" s="3">
        <v>778.52</v>
      </c>
    </row>
    <row r="67" spans="1:11" x14ac:dyDescent="0.25">
      <c r="A67" s="2" t="s">
        <v>40</v>
      </c>
      <c r="B67" s="3">
        <v>40.1</v>
      </c>
      <c r="C67" s="3">
        <v>46.91</v>
      </c>
      <c r="D67" s="3">
        <v>57.21</v>
      </c>
      <c r="E67" s="3">
        <v>78.930000000000007</v>
      </c>
      <c r="F67" s="3">
        <v>87.39</v>
      </c>
      <c r="G67" s="3">
        <v>98.64</v>
      </c>
      <c r="H67" s="3">
        <v>118.77</v>
      </c>
      <c r="I67" s="3">
        <v>125.85</v>
      </c>
      <c r="J67" s="3">
        <v>161.09</v>
      </c>
      <c r="K67" s="3">
        <v>203.86</v>
      </c>
    </row>
    <row r="68" spans="1:11" ht="14.4" x14ac:dyDescent="0.3">
      <c r="A68" s="2" t="s">
        <v>41</v>
      </c>
      <c r="B68">
        <v>43.19</v>
      </c>
      <c r="C68">
        <v>53.94</v>
      </c>
      <c r="D68">
        <v>58.72</v>
      </c>
      <c r="E68">
        <v>66.23</v>
      </c>
      <c r="F68">
        <v>66.73</v>
      </c>
      <c r="G68">
        <v>71.849999999999994</v>
      </c>
      <c r="H68">
        <v>132.9</v>
      </c>
      <c r="I68">
        <v>159.82</v>
      </c>
      <c r="J68">
        <v>145.12</v>
      </c>
      <c r="K68">
        <v>185.26</v>
      </c>
    </row>
    <row r="69" spans="1:11" x14ac:dyDescent="0.25">
      <c r="A69" s="2" t="s">
        <v>42</v>
      </c>
      <c r="B69" s="3">
        <v>1.66</v>
      </c>
      <c r="C69" s="3">
        <v>1.36</v>
      </c>
      <c r="D69" s="3">
        <v>0.86</v>
      </c>
      <c r="E69" s="3">
        <v>2.21</v>
      </c>
      <c r="F69" s="3">
        <v>6.12</v>
      </c>
      <c r="G69" s="3">
        <v>15.14</v>
      </c>
      <c r="H69" s="3">
        <v>7.67</v>
      </c>
      <c r="I69" s="3">
        <v>25.69</v>
      </c>
      <c r="J69" s="3">
        <v>72.48</v>
      </c>
      <c r="K69" s="3">
        <v>49.6</v>
      </c>
    </row>
    <row r="70" spans="1:11" x14ac:dyDescent="0.25">
      <c r="A70" s="2" t="s">
        <v>43</v>
      </c>
      <c r="B70" s="3">
        <v>7316200</v>
      </c>
      <c r="C70" s="3">
        <v>7316200</v>
      </c>
      <c r="D70" s="3">
        <v>8166200</v>
      </c>
      <c r="E70" s="3">
        <v>8166200</v>
      </c>
      <c r="F70" s="3">
        <v>8474030</v>
      </c>
      <c r="G70" s="3">
        <v>8474030</v>
      </c>
      <c r="H70" s="3">
        <v>16948600</v>
      </c>
      <c r="I70" s="3">
        <v>16948600</v>
      </c>
      <c r="J70" s="3">
        <v>16948600</v>
      </c>
      <c r="K70" s="3">
        <v>16948600</v>
      </c>
    </row>
    <row r="71" spans="1:11" ht="14.4" x14ac:dyDescent="0.3">
      <c r="A71" s="2" t="s">
        <v>44</v>
      </c>
      <c r="B71"/>
      <c r="E71"/>
      <c r="H71"/>
    </row>
    <row r="72" spans="1:11" x14ac:dyDescent="0.25">
      <c r="A72" s="2" t="s">
        <v>45</v>
      </c>
      <c r="B72" s="3">
        <v>10</v>
      </c>
      <c r="C72" s="3">
        <v>10</v>
      </c>
      <c r="D72" s="3">
        <v>10</v>
      </c>
      <c r="E72" s="3">
        <v>10</v>
      </c>
      <c r="F72" s="3">
        <v>10</v>
      </c>
      <c r="G72" s="3">
        <v>10</v>
      </c>
      <c r="H72" s="3">
        <v>5</v>
      </c>
      <c r="I72" s="3">
        <v>5</v>
      </c>
      <c r="J72" s="3">
        <v>5</v>
      </c>
      <c r="K72" s="3">
        <v>5</v>
      </c>
    </row>
    <row r="80" spans="1:11" x14ac:dyDescent="0.25">
      <c r="A80" s="1" t="s">
        <v>46</v>
      </c>
    </row>
    <row r="81" spans="1:12" s="6" customFormat="1" x14ac:dyDescent="0.25">
      <c r="A81" s="4" t="s">
        <v>11</v>
      </c>
      <c r="B81" s="5">
        <v>42460</v>
      </c>
      <c r="C81" s="5">
        <v>42825</v>
      </c>
      <c r="D81" s="5">
        <v>43190</v>
      </c>
      <c r="E81" s="5">
        <v>43555</v>
      </c>
      <c r="F81" s="5">
        <v>43921</v>
      </c>
      <c r="G81" s="5">
        <v>44286</v>
      </c>
      <c r="H81" s="5">
        <v>44651</v>
      </c>
      <c r="I81" s="5">
        <v>45016</v>
      </c>
      <c r="J81" s="5">
        <v>45382</v>
      </c>
      <c r="K81" s="5">
        <v>45747</v>
      </c>
      <c r="L81" s="5"/>
    </row>
    <row r="82" spans="1:12" s="1" customFormat="1" x14ac:dyDescent="0.25">
      <c r="A82" s="2" t="s">
        <v>47</v>
      </c>
      <c r="B82" s="3">
        <v>11.07</v>
      </c>
      <c r="C82" s="3">
        <v>26.24</v>
      </c>
      <c r="D82" s="3">
        <v>19.350000000000001</v>
      </c>
      <c r="E82" s="3">
        <v>28.46</v>
      </c>
      <c r="F82" s="3">
        <v>65.900000000000006</v>
      </c>
      <c r="G82" s="3">
        <v>78.94</v>
      </c>
      <c r="H82" s="3">
        <v>5.87</v>
      </c>
      <c r="I82" s="3">
        <v>66.209999999999994</v>
      </c>
      <c r="J82" s="3">
        <v>109.19</v>
      </c>
      <c r="K82" s="3">
        <v>107.46</v>
      </c>
    </row>
    <row r="83" spans="1:12" x14ac:dyDescent="0.25">
      <c r="A83" s="2" t="s">
        <v>48</v>
      </c>
      <c r="B83" s="3">
        <v>-37.549999999999997</v>
      </c>
      <c r="C83" s="3">
        <v>-77.31</v>
      </c>
      <c r="D83" s="3">
        <v>-8.09</v>
      </c>
      <c r="E83" s="3">
        <v>-52.54</v>
      </c>
      <c r="F83" s="3">
        <v>19.05</v>
      </c>
      <c r="G83" s="3">
        <v>-5.5</v>
      </c>
      <c r="H83" s="3">
        <v>-30.48</v>
      </c>
      <c r="I83" s="3">
        <v>-12.36</v>
      </c>
      <c r="J83" s="3">
        <v>-37.159999999999997</v>
      </c>
      <c r="K83" s="3">
        <v>-126.42</v>
      </c>
    </row>
    <row r="84" spans="1:12" x14ac:dyDescent="0.25">
      <c r="A84" s="2" t="s">
        <v>49</v>
      </c>
      <c r="B84" s="3">
        <v>26.21</v>
      </c>
      <c r="C84" s="3">
        <v>50.96</v>
      </c>
      <c r="D84" s="3">
        <v>-11.19</v>
      </c>
      <c r="E84" s="3">
        <v>22.46</v>
      </c>
      <c r="F84" s="3">
        <v>-80.42</v>
      </c>
      <c r="G84" s="3">
        <v>-64.42</v>
      </c>
      <c r="H84" s="3">
        <v>17.14</v>
      </c>
      <c r="I84" s="3">
        <v>-35.83</v>
      </c>
      <c r="J84" s="3">
        <v>-3.95</v>
      </c>
      <c r="K84" s="3">
        <v>-3.92</v>
      </c>
    </row>
    <row r="85" spans="1:12" s="1" customFormat="1" x14ac:dyDescent="0.25">
      <c r="A85" s="2" t="s">
        <v>50</v>
      </c>
      <c r="B85" s="3">
        <v>-0.27</v>
      </c>
      <c r="C85" s="3">
        <v>-0.11</v>
      </c>
      <c r="D85" s="3">
        <v>7.0000000000000007E-2</v>
      </c>
      <c r="E85" s="3">
        <v>-1.63</v>
      </c>
      <c r="F85" s="3">
        <v>4.53</v>
      </c>
      <c r="G85" s="3">
        <v>9.02</v>
      </c>
      <c r="H85" s="3">
        <v>-7.46</v>
      </c>
      <c r="I85" s="3">
        <v>18.02</v>
      </c>
      <c r="J85" s="3">
        <v>68.08</v>
      </c>
      <c r="K85" s="3">
        <v>-22.88</v>
      </c>
    </row>
    <row r="90" spans="1:12" s="1" customFormat="1" x14ac:dyDescent="0.25">
      <c r="A90" s="1" t="s">
        <v>51</v>
      </c>
      <c r="B90" s="3">
        <v>97.1</v>
      </c>
      <c r="C90" s="3">
        <v>287.33</v>
      </c>
      <c r="D90" s="3">
        <v>341.35</v>
      </c>
      <c r="E90" s="3">
        <v>392.68</v>
      </c>
      <c r="F90" s="3">
        <v>128.85</v>
      </c>
      <c r="G90" s="3">
        <v>697.98</v>
      </c>
      <c r="H90" s="3">
        <v>1021.05</v>
      </c>
      <c r="I90" s="3">
        <v>971.25</v>
      </c>
      <c r="J90" s="3">
        <v>1562.1</v>
      </c>
      <c r="K90" s="3">
        <v>1647.35</v>
      </c>
    </row>
    <row r="92" spans="1:12" s="1" customFormat="1" x14ac:dyDescent="0.25">
      <c r="A92" s="1" t="s">
        <v>52</v>
      </c>
    </row>
    <row r="93" spans="1:12" x14ac:dyDescent="0.25">
      <c r="A93" s="2" t="s">
        <v>53</v>
      </c>
      <c r="B93" s="7">
        <v>1.46</v>
      </c>
      <c r="C93" s="7">
        <v>1.46</v>
      </c>
      <c r="D93" s="7">
        <v>1.63</v>
      </c>
      <c r="E93" s="7">
        <v>1.63</v>
      </c>
      <c r="F93" s="7">
        <v>1.69</v>
      </c>
      <c r="G93" s="7">
        <v>1.69</v>
      </c>
      <c r="H93" s="7">
        <v>1.69</v>
      </c>
      <c r="I93" s="7">
        <v>1.69</v>
      </c>
      <c r="J93" s="7">
        <v>1.69</v>
      </c>
      <c r="K93" s="7">
        <v>1.69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CB28CEBF-4B1B-41FC-9851-F0B3A3ED1B7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30C94-B78A-44F4-8AA3-869EC59E6C05}">
  <sheetPr>
    <tabColor rgb="FFFF0000"/>
  </sheetPr>
  <dimension ref="B2:V562"/>
  <sheetViews>
    <sheetView showGridLines="0" workbookViewId="0">
      <selection activeCell="K24" sqref="K24"/>
    </sheetView>
  </sheetViews>
  <sheetFormatPr defaultRowHeight="14.4" x14ac:dyDescent="0.3"/>
  <cols>
    <col min="1" max="1" width="1.88671875" customWidth="1"/>
    <col min="2" max="2" width="10.33203125" bestFit="1" customWidth="1"/>
    <col min="3" max="3" width="11.5546875" bestFit="1" customWidth="1"/>
    <col min="4" max="4" width="11.21875" bestFit="1" customWidth="1"/>
    <col min="5" max="5" width="4.109375" style="17" customWidth="1"/>
    <col min="6" max="6" width="10.33203125" bestFit="1" customWidth="1"/>
    <col min="7" max="8" width="11.21875" bestFit="1" customWidth="1"/>
    <col min="9" max="9" width="6" customWidth="1"/>
    <col min="10" max="10" width="16.21875" bestFit="1" customWidth="1"/>
    <col min="11" max="12" width="11.44140625" customWidth="1"/>
  </cols>
  <sheetData>
    <row r="2" spans="2:15" x14ac:dyDescent="0.3">
      <c r="B2" s="74" t="s">
        <v>226</v>
      </c>
      <c r="C2" s="75"/>
      <c r="D2" s="75"/>
    </row>
    <row r="3" spans="2:15" x14ac:dyDescent="0.3">
      <c r="B3" s="69"/>
    </row>
    <row r="4" spans="2:15" x14ac:dyDescent="0.3">
      <c r="B4" s="173" t="s">
        <v>221</v>
      </c>
      <c r="C4" s="173"/>
      <c r="D4" s="173"/>
      <c r="F4" s="173" t="s">
        <v>215</v>
      </c>
      <c r="G4" s="173"/>
      <c r="H4" s="173"/>
      <c r="J4" s="173" t="s">
        <v>218</v>
      </c>
      <c r="K4" s="173"/>
    </row>
    <row r="6" spans="2:15" x14ac:dyDescent="0.3">
      <c r="B6" s="68" t="s">
        <v>214</v>
      </c>
      <c r="C6" s="68" t="s">
        <v>220</v>
      </c>
      <c r="D6" s="68" t="s">
        <v>216</v>
      </c>
      <c r="F6" s="68" t="s">
        <v>214</v>
      </c>
      <c r="G6" s="68" t="s">
        <v>220</v>
      </c>
      <c r="H6" s="68" t="s">
        <v>216</v>
      </c>
      <c r="I6" s="18"/>
      <c r="L6" s="18"/>
      <c r="M6" s="18"/>
      <c r="N6" s="17"/>
    </row>
    <row r="7" spans="2:15" x14ac:dyDescent="0.3">
      <c r="B7" s="60">
        <v>46045</v>
      </c>
      <c r="C7" s="62">
        <v>2176.3000000000002</v>
      </c>
      <c r="D7" s="61"/>
      <c r="F7" s="60">
        <v>46045</v>
      </c>
      <c r="G7" s="62">
        <v>25048.65</v>
      </c>
    </row>
    <row r="8" spans="2:15" x14ac:dyDescent="0.3">
      <c r="B8" s="60">
        <v>46044</v>
      </c>
      <c r="C8" s="62">
        <v>2205</v>
      </c>
      <c r="D8" s="63">
        <f>C8/C7-1</f>
        <v>1.3187520102927008E-2</v>
      </c>
      <c r="F8" s="60">
        <v>46044</v>
      </c>
      <c r="G8" s="62">
        <v>25289.9</v>
      </c>
      <c r="H8" s="63">
        <f>G8/G7-1</f>
        <v>9.6312575727635075E-3</v>
      </c>
      <c r="J8" t="s">
        <v>219</v>
      </c>
      <c r="K8" s="71">
        <f>O11</f>
        <v>0.76064797443239973</v>
      </c>
    </row>
    <row r="9" spans="2:15" x14ac:dyDescent="0.3">
      <c r="B9" s="60">
        <v>46043</v>
      </c>
      <c r="C9" s="62">
        <v>2175</v>
      </c>
      <c r="D9" s="63">
        <f t="shared" ref="D9:D72" si="0">C9/C8-1</f>
        <v>-1.3605442176870763E-2</v>
      </c>
      <c r="F9" s="60">
        <v>46043</v>
      </c>
      <c r="G9" s="62">
        <v>25157.5</v>
      </c>
      <c r="H9" s="63">
        <f t="shared" ref="H9:H72" si="1">G9/G8-1</f>
        <v>-5.235291559080979E-3</v>
      </c>
      <c r="J9" t="s">
        <v>222</v>
      </c>
      <c r="K9" s="28">
        <v>0.6</v>
      </c>
    </row>
    <row r="10" spans="2:15" x14ac:dyDescent="0.3">
      <c r="B10" s="60">
        <v>46042</v>
      </c>
      <c r="C10" s="62">
        <v>2169.9</v>
      </c>
      <c r="D10" s="63">
        <f t="shared" si="0"/>
        <v>-2.3448275862069101E-3</v>
      </c>
      <c r="F10" s="60">
        <v>46042</v>
      </c>
      <c r="G10" s="62">
        <v>25232.5</v>
      </c>
      <c r="H10" s="63">
        <f t="shared" si="1"/>
        <v>2.9812183245552237E-3</v>
      </c>
    </row>
    <row r="11" spans="2:15" x14ac:dyDescent="0.3">
      <c r="B11" s="60">
        <v>46041</v>
      </c>
      <c r="C11" s="62">
        <v>2174</v>
      </c>
      <c r="D11" s="63">
        <f t="shared" si="0"/>
        <v>1.8894879948383458E-3</v>
      </c>
      <c r="F11" s="60">
        <v>46041</v>
      </c>
      <c r="G11" s="62">
        <v>25585.5</v>
      </c>
      <c r="H11" s="63">
        <f t="shared" si="1"/>
        <v>1.3989893985930868E-2</v>
      </c>
      <c r="J11" t="s">
        <v>224</v>
      </c>
      <c r="K11" s="71">
        <v>1</v>
      </c>
      <c r="N11" s="64" t="s">
        <v>217</v>
      </c>
      <c r="O11" s="65">
        <f>SLOPE(D6:D562,H6:H562)</f>
        <v>0.76064797443239973</v>
      </c>
    </row>
    <row r="12" spans="2:15" x14ac:dyDescent="0.3">
      <c r="B12" s="60">
        <v>46038</v>
      </c>
      <c r="C12" s="62">
        <v>2181.4</v>
      </c>
      <c r="D12" s="63">
        <f t="shared" si="0"/>
        <v>3.403863845446331E-3</v>
      </c>
      <c r="F12" s="60">
        <v>46038</v>
      </c>
      <c r="G12" s="62">
        <v>25694.35</v>
      </c>
      <c r="H12" s="63">
        <f t="shared" si="1"/>
        <v>4.2543628226925367E-3</v>
      </c>
      <c r="J12" t="s">
        <v>223</v>
      </c>
      <c r="K12" s="28">
        <v>0.4</v>
      </c>
    </row>
    <row r="13" spans="2:15" x14ac:dyDescent="0.3">
      <c r="B13" s="60">
        <v>46036</v>
      </c>
      <c r="C13" s="62">
        <v>2224.1999999999998</v>
      </c>
      <c r="D13" s="63">
        <f t="shared" si="0"/>
        <v>1.9620427248555838E-2</v>
      </c>
      <c r="F13" s="60">
        <v>46036</v>
      </c>
      <c r="G13" s="62">
        <v>25665.599999999999</v>
      </c>
      <c r="H13" s="63">
        <f t="shared" si="1"/>
        <v>-1.1189230317171228E-3</v>
      </c>
    </row>
    <row r="14" spans="2:15" x14ac:dyDescent="0.3">
      <c r="B14" s="60">
        <v>46035</v>
      </c>
      <c r="C14" s="62">
        <v>2188.6</v>
      </c>
      <c r="D14" s="63">
        <f t="shared" si="0"/>
        <v>-1.6005754878158363E-2</v>
      </c>
      <c r="F14" s="60">
        <v>46035</v>
      </c>
      <c r="G14" s="62">
        <v>25732.3</v>
      </c>
      <c r="H14" s="63">
        <f t="shared" si="1"/>
        <v>2.5988093011657387E-3</v>
      </c>
      <c r="J14" s="72" t="s">
        <v>225</v>
      </c>
      <c r="K14" s="73">
        <f>(K8*K9)+(K11*K12)</f>
        <v>0.85638878465943979</v>
      </c>
    </row>
    <row r="15" spans="2:15" x14ac:dyDescent="0.3">
      <c r="B15" s="60">
        <v>46034</v>
      </c>
      <c r="C15" s="62">
        <v>2185.5</v>
      </c>
      <c r="D15" s="63">
        <f t="shared" si="0"/>
        <v>-1.4164305949008194E-3</v>
      </c>
      <c r="F15" s="60">
        <v>46034</v>
      </c>
      <c r="G15" s="62">
        <v>25790.25</v>
      </c>
      <c r="H15" s="63">
        <f t="shared" si="1"/>
        <v>2.2520334365758732E-3</v>
      </c>
    </row>
    <row r="16" spans="2:15" x14ac:dyDescent="0.3">
      <c r="B16" s="60">
        <v>46031</v>
      </c>
      <c r="C16" s="62">
        <v>2175.1</v>
      </c>
      <c r="D16" s="63">
        <f t="shared" si="0"/>
        <v>-4.7586364676276416E-3</v>
      </c>
      <c r="F16" s="60">
        <v>46031</v>
      </c>
      <c r="G16" s="62">
        <v>25683.3</v>
      </c>
      <c r="H16" s="63">
        <f t="shared" si="1"/>
        <v>-4.1469159856922788E-3</v>
      </c>
    </row>
    <row r="17" spans="2:19" x14ac:dyDescent="0.3">
      <c r="B17" s="60">
        <v>46030</v>
      </c>
      <c r="C17" s="62">
        <v>2183.6</v>
      </c>
      <c r="D17" s="63">
        <f t="shared" si="0"/>
        <v>3.9078663049973983E-3</v>
      </c>
      <c r="F17" s="60">
        <v>46030</v>
      </c>
      <c r="G17" s="62">
        <v>25876.85</v>
      </c>
      <c r="H17" s="63">
        <f t="shared" si="1"/>
        <v>7.5360253549972001E-3</v>
      </c>
    </row>
    <row r="18" spans="2:19" x14ac:dyDescent="0.3">
      <c r="B18" s="60">
        <v>46029</v>
      </c>
      <c r="C18" s="62">
        <v>2214.6999999999998</v>
      </c>
      <c r="D18" s="63">
        <f t="shared" si="0"/>
        <v>1.4242535262868561E-2</v>
      </c>
      <c r="F18" s="60">
        <v>46029</v>
      </c>
      <c r="G18" s="62">
        <v>26140.75</v>
      </c>
      <c r="H18" s="63">
        <f t="shared" si="1"/>
        <v>1.0198304662275337E-2</v>
      </c>
    </row>
    <row r="19" spans="2:19" x14ac:dyDescent="0.3">
      <c r="B19" s="60">
        <v>46028</v>
      </c>
      <c r="C19" s="62">
        <v>2197.6</v>
      </c>
      <c r="D19" s="63">
        <f t="shared" si="0"/>
        <v>-7.7211360455140543E-3</v>
      </c>
      <c r="F19" s="60">
        <v>46028</v>
      </c>
      <c r="G19" s="62">
        <v>26178.7</v>
      </c>
      <c r="H19" s="63">
        <f t="shared" si="1"/>
        <v>1.45175635741146E-3</v>
      </c>
      <c r="N19" t="s">
        <v>154</v>
      </c>
    </row>
    <row r="20" spans="2:19" ht="15" thickBot="1" x14ac:dyDescent="0.35">
      <c r="B20" s="60">
        <v>46027</v>
      </c>
      <c r="C20" s="62">
        <v>2188.5</v>
      </c>
      <c r="D20" s="63">
        <f t="shared" si="0"/>
        <v>-4.1408809610483654E-3</v>
      </c>
      <c r="F20" s="60">
        <v>46027</v>
      </c>
      <c r="G20" s="62">
        <v>26250.3</v>
      </c>
      <c r="H20" s="63">
        <f t="shared" si="1"/>
        <v>2.7350479588366117E-3</v>
      </c>
    </row>
    <row r="21" spans="2:19" x14ac:dyDescent="0.3">
      <c r="B21" s="60">
        <v>46024</v>
      </c>
      <c r="C21" s="62">
        <v>2207.8000000000002</v>
      </c>
      <c r="D21" s="63">
        <f t="shared" si="0"/>
        <v>8.8188256796892794E-3</v>
      </c>
      <c r="F21" s="60">
        <v>46024</v>
      </c>
      <c r="G21" s="62">
        <v>26328.55</v>
      </c>
      <c r="H21" s="63">
        <f t="shared" si="1"/>
        <v>2.9809183133144845E-3</v>
      </c>
      <c r="N21" s="46" t="s">
        <v>155</v>
      </c>
      <c r="O21" s="46"/>
    </row>
    <row r="22" spans="2:19" x14ac:dyDescent="0.3">
      <c r="B22" s="60">
        <v>46023</v>
      </c>
      <c r="C22" s="62">
        <v>2249.6</v>
      </c>
      <c r="D22" s="63">
        <f t="shared" si="0"/>
        <v>1.8932874354560925E-2</v>
      </c>
      <c r="F22" s="60">
        <v>46023</v>
      </c>
      <c r="G22" s="62">
        <v>26146.55</v>
      </c>
      <c r="H22" s="63">
        <f t="shared" si="1"/>
        <v>-6.9126480569571269E-3</v>
      </c>
      <c r="N22" t="s">
        <v>156</v>
      </c>
      <c r="O22">
        <v>0.2447561070033778</v>
      </c>
    </row>
    <row r="23" spans="2:19" x14ac:dyDescent="0.3">
      <c r="B23" s="60">
        <v>46022</v>
      </c>
      <c r="C23" s="62">
        <v>2229.4</v>
      </c>
      <c r="D23" s="63">
        <f t="shared" si="0"/>
        <v>-8.9793741109529535E-3</v>
      </c>
      <c r="F23" s="60">
        <v>46022</v>
      </c>
      <c r="G23" s="62">
        <v>26129.599999999999</v>
      </c>
      <c r="H23" s="63">
        <f t="shared" si="1"/>
        <v>-6.4826908330162247E-4</v>
      </c>
      <c r="N23" t="s">
        <v>157</v>
      </c>
      <c r="O23">
        <v>5.9905551915448919E-2</v>
      </c>
    </row>
    <row r="24" spans="2:19" x14ac:dyDescent="0.3">
      <c r="B24" s="60">
        <v>46021</v>
      </c>
      <c r="C24" s="62">
        <v>2175.1</v>
      </c>
      <c r="D24" s="63">
        <f t="shared" si="0"/>
        <v>-2.4356329057145465E-2</v>
      </c>
      <c r="F24" s="60">
        <v>46021</v>
      </c>
      <c r="G24" s="62">
        <v>25938.85</v>
      </c>
      <c r="H24" s="63">
        <f t="shared" si="1"/>
        <v>-7.300150021431584E-3</v>
      </c>
      <c r="N24" t="s">
        <v>158</v>
      </c>
      <c r="O24">
        <v>5.8202482263121837E-2</v>
      </c>
    </row>
    <row r="25" spans="2:19" x14ac:dyDescent="0.3">
      <c r="B25" s="60">
        <v>46020</v>
      </c>
      <c r="C25" s="62">
        <v>2174.3000000000002</v>
      </c>
      <c r="D25" s="63">
        <f t="shared" si="0"/>
        <v>-3.6779918164664416E-4</v>
      </c>
      <c r="F25" s="60">
        <v>46020</v>
      </c>
      <c r="G25" s="62">
        <v>25942.1</v>
      </c>
      <c r="H25" s="63">
        <f t="shared" si="1"/>
        <v>1.2529468345734429E-4</v>
      </c>
      <c r="N25" t="s">
        <v>159</v>
      </c>
      <c r="O25">
        <v>2.4097208256291504E-2</v>
      </c>
    </row>
    <row r="26" spans="2:19" ht="15" thickBot="1" x14ac:dyDescent="0.35">
      <c r="B26" s="60">
        <v>46017</v>
      </c>
      <c r="C26" s="62">
        <v>2215.6</v>
      </c>
      <c r="D26" s="63">
        <f t="shared" si="0"/>
        <v>1.8994618957825393E-2</v>
      </c>
      <c r="F26" s="60">
        <v>46017</v>
      </c>
      <c r="G26" s="62">
        <v>26042.3</v>
      </c>
      <c r="H26" s="63">
        <f t="shared" si="1"/>
        <v>3.8624475273782988E-3</v>
      </c>
      <c r="N26" s="44" t="s">
        <v>160</v>
      </c>
      <c r="O26" s="44">
        <v>554</v>
      </c>
    </row>
    <row r="27" spans="2:19" x14ac:dyDescent="0.3">
      <c r="B27" s="60">
        <v>46015</v>
      </c>
      <c r="C27" s="62">
        <v>2300.5</v>
      </c>
      <c r="D27" s="63">
        <f t="shared" si="0"/>
        <v>3.8319191189745583E-2</v>
      </c>
      <c r="F27" s="60">
        <v>46015</v>
      </c>
      <c r="G27" s="62">
        <v>26142.1</v>
      </c>
      <c r="H27" s="63">
        <f t="shared" si="1"/>
        <v>3.8322268002441984E-3</v>
      </c>
    </row>
    <row r="28" spans="2:19" ht="15" thickBot="1" x14ac:dyDescent="0.35">
      <c r="B28" s="60">
        <v>46014</v>
      </c>
      <c r="C28" s="62">
        <v>2281.3000000000002</v>
      </c>
      <c r="D28" s="63">
        <f t="shared" si="0"/>
        <v>-8.3460117365788955E-3</v>
      </c>
      <c r="F28" s="60">
        <v>46014</v>
      </c>
      <c r="G28" s="62">
        <v>26177.15</v>
      </c>
      <c r="H28" s="63">
        <f t="shared" si="1"/>
        <v>1.34074921295535E-3</v>
      </c>
      <c r="N28" t="s">
        <v>161</v>
      </c>
    </row>
    <row r="29" spans="2:19" x14ac:dyDescent="0.3">
      <c r="B29" s="60">
        <v>46013</v>
      </c>
      <c r="C29" s="62">
        <v>2255.1</v>
      </c>
      <c r="D29" s="63">
        <f t="shared" si="0"/>
        <v>-1.1484679787840402E-2</v>
      </c>
      <c r="F29" s="60">
        <v>46013</v>
      </c>
      <c r="G29" s="62">
        <v>26172.400000000001</v>
      </c>
      <c r="H29" s="63">
        <f t="shared" si="1"/>
        <v>-1.8145596445751089E-4</v>
      </c>
      <c r="N29" s="45"/>
      <c r="O29" s="45" t="s">
        <v>165</v>
      </c>
      <c r="P29" s="45" t="s">
        <v>166</v>
      </c>
      <c r="Q29" s="45" t="s">
        <v>167</v>
      </c>
      <c r="R29" s="45" t="s">
        <v>168</v>
      </c>
      <c r="S29" s="45" t="s">
        <v>169</v>
      </c>
    </row>
    <row r="30" spans="2:19" x14ac:dyDescent="0.3">
      <c r="B30" s="60">
        <v>46010</v>
      </c>
      <c r="C30" s="62">
        <v>2175</v>
      </c>
      <c r="D30" s="63">
        <f t="shared" si="0"/>
        <v>-3.5519489157908701E-2</v>
      </c>
      <c r="F30" s="60">
        <v>46010</v>
      </c>
      <c r="G30" s="62">
        <v>25966.400000000001</v>
      </c>
      <c r="H30" s="63">
        <f t="shared" si="1"/>
        <v>-7.8708868884779237E-3</v>
      </c>
      <c r="N30" t="s">
        <v>162</v>
      </c>
      <c r="O30">
        <v>1</v>
      </c>
      <c r="P30">
        <v>2.0425285022075856E-2</v>
      </c>
      <c r="Q30">
        <v>2.0425285022075856E-2</v>
      </c>
      <c r="R30">
        <v>35.175045150733318</v>
      </c>
      <c r="S30">
        <v>5.3190656075329814E-9</v>
      </c>
    </row>
    <row r="31" spans="2:19" x14ac:dyDescent="0.3">
      <c r="B31" s="60">
        <v>46009</v>
      </c>
      <c r="C31" s="62">
        <v>2166.4</v>
      </c>
      <c r="D31" s="63">
        <f t="shared" si="0"/>
        <v>-3.9540229885056677E-3</v>
      </c>
      <c r="F31" s="60">
        <v>46009</v>
      </c>
      <c r="G31" s="62">
        <v>25815.55</v>
      </c>
      <c r="H31" s="63">
        <f t="shared" si="1"/>
        <v>-5.8094306488385428E-3</v>
      </c>
      <c r="N31" t="s">
        <v>163</v>
      </c>
      <c r="O31">
        <v>552</v>
      </c>
      <c r="P31">
        <v>0.32053284605239007</v>
      </c>
      <c r="Q31">
        <v>5.8067544574708346E-4</v>
      </c>
    </row>
    <row r="32" spans="2:19" ht="15" thickBot="1" x14ac:dyDescent="0.35">
      <c r="B32" s="60">
        <v>46008</v>
      </c>
      <c r="C32" s="62">
        <v>2218.1999999999998</v>
      </c>
      <c r="D32" s="63">
        <f t="shared" si="0"/>
        <v>2.391063515509595E-2</v>
      </c>
      <c r="F32" s="60">
        <v>46008</v>
      </c>
      <c r="G32" s="62">
        <v>25818.55</v>
      </c>
      <c r="H32" s="63">
        <f t="shared" si="1"/>
        <v>1.1620902905429276E-4</v>
      </c>
      <c r="N32" s="44" t="s">
        <v>35</v>
      </c>
      <c r="O32" s="44">
        <v>553</v>
      </c>
      <c r="P32" s="44">
        <v>0.34095813107446593</v>
      </c>
      <c r="Q32" s="44"/>
      <c r="R32" s="44"/>
      <c r="S32" s="44"/>
    </row>
    <row r="33" spans="2:22" ht="15" thickBot="1" x14ac:dyDescent="0.35">
      <c r="B33" s="60">
        <v>46007</v>
      </c>
      <c r="C33" s="62">
        <v>2207.1999999999998</v>
      </c>
      <c r="D33" s="63">
        <f t="shared" si="0"/>
        <v>-4.9589757461004913E-3</v>
      </c>
      <c r="F33" s="60">
        <v>46007</v>
      </c>
      <c r="G33" s="62">
        <v>25860.1</v>
      </c>
      <c r="H33" s="63">
        <f t="shared" si="1"/>
        <v>1.6093080362762358E-3</v>
      </c>
    </row>
    <row r="34" spans="2:22" x14ac:dyDescent="0.3">
      <c r="B34" s="60">
        <v>46006</v>
      </c>
      <c r="C34" s="62">
        <v>2230</v>
      </c>
      <c r="D34" s="63">
        <f t="shared" si="0"/>
        <v>1.0329829648423328E-2</v>
      </c>
      <c r="F34" s="60">
        <v>46006</v>
      </c>
      <c r="G34" s="62">
        <v>26027.3</v>
      </c>
      <c r="H34" s="63">
        <f t="shared" si="1"/>
        <v>6.4655589112183609E-3</v>
      </c>
      <c r="N34" s="45"/>
      <c r="O34" s="45" t="s">
        <v>170</v>
      </c>
      <c r="P34" s="45" t="s">
        <v>159</v>
      </c>
      <c r="Q34" s="45" t="s">
        <v>171</v>
      </c>
      <c r="R34" s="45" t="s">
        <v>172</v>
      </c>
      <c r="S34" s="45" t="s">
        <v>173</v>
      </c>
      <c r="T34" s="45" t="s">
        <v>174</v>
      </c>
      <c r="U34" s="45" t="s">
        <v>175</v>
      </c>
      <c r="V34" s="45" t="s">
        <v>176</v>
      </c>
    </row>
    <row r="35" spans="2:22" x14ac:dyDescent="0.3">
      <c r="B35" s="60">
        <v>46003</v>
      </c>
      <c r="C35" s="62">
        <v>2227.6</v>
      </c>
      <c r="D35" s="63">
        <f t="shared" si="0"/>
        <v>-1.0762331838565231E-3</v>
      </c>
      <c r="F35" s="60">
        <v>46003</v>
      </c>
      <c r="G35" s="62">
        <v>26046.95</v>
      </c>
      <c r="H35" s="63">
        <f t="shared" si="1"/>
        <v>7.5497650543865369E-4</v>
      </c>
      <c r="N35" t="s">
        <v>164</v>
      </c>
      <c r="O35">
        <v>1.6949756058277243E-4</v>
      </c>
      <c r="P35">
        <v>1.0256076866620521E-3</v>
      </c>
      <c r="Q35">
        <v>0.1652654936064491</v>
      </c>
      <c r="R35">
        <v>0.86879552287512507</v>
      </c>
      <c r="S35">
        <v>-1.8450737276528436E-3</v>
      </c>
      <c r="T35">
        <v>2.1840688488183884E-3</v>
      </c>
      <c r="U35">
        <v>-1.8450737276528436E-3</v>
      </c>
      <c r="V35">
        <v>2.1840688488183884E-3</v>
      </c>
    </row>
    <row r="36" spans="2:22" ht="15" thickBot="1" x14ac:dyDescent="0.35">
      <c r="B36" s="60">
        <v>46002</v>
      </c>
      <c r="C36" s="62">
        <v>2149.1</v>
      </c>
      <c r="D36" s="63">
        <f t="shared" si="0"/>
        <v>-3.5239719877895537E-2</v>
      </c>
      <c r="F36" s="60">
        <v>46002</v>
      </c>
      <c r="G36" s="62">
        <v>25898.55</v>
      </c>
      <c r="H36" s="63">
        <f t="shared" si="1"/>
        <v>-5.697404110654114E-3</v>
      </c>
      <c r="N36" s="44">
        <v>9.6312575727635075E-3</v>
      </c>
      <c r="O36" s="66">
        <v>0.75902828425052504</v>
      </c>
      <c r="P36" s="44">
        <v>0.12797956446444045</v>
      </c>
      <c r="Q36" s="44">
        <v>5.9308553473115122</v>
      </c>
      <c r="R36" s="44">
        <v>5.3190656075324586E-9</v>
      </c>
      <c r="S36" s="44">
        <v>0.50764175565490188</v>
      </c>
      <c r="T36" s="44">
        <v>1.0104148128461481</v>
      </c>
      <c r="U36" s="44">
        <v>0.50764175565490188</v>
      </c>
      <c r="V36" s="44">
        <v>1.0104148128461481</v>
      </c>
    </row>
    <row r="37" spans="2:22" x14ac:dyDescent="0.3">
      <c r="B37" s="60">
        <v>46001</v>
      </c>
      <c r="C37" s="62">
        <v>2152.6999999999998</v>
      </c>
      <c r="D37" s="63">
        <f t="shared" si="0"/>
        <v>1.6751198175979365E-3</v>
      </c>
      <c r="F37" s="60">
        <v>46001</v>
      </c>
      <c r="G37" s="62">
        <v>25758</v>
      </c>
      <c r="H37" s="63">
        <f t="shared" si="1"/>
        <v>-5.4269447517332203E-3</v>
      </c>
    </row>
    <row r="38" spans="2:22" x14ac:dyDescent="0.3">
      <c r="B38" s="60">
        <v>46000</v>
      </c>
      <c r="C38" s="62">
        <v>2141.1999999999998</v>
      </c>
      <c r="D38" s="63">
        <f t="shared" si="0"/>
        <v>-5.3421284898035326E-3</v>
      </c>
      <c r="F38" s="60">
        <v>46000</v>
      </c>
      <c r="G38" s="62">
        <v>25839.65</v>
      </c>
      <c r="H38" s="63">
        <f t="shared" si="1"/>
        <v>3.1698889665348062E-3</v>
      </c>
    </row>
    <row r="39" spans="2:22" x14ac:dyDescent="0.3">
      <c r="B39" s="60">
        <v>45999</v>
      </c>
      <c r="C39" s="62">
        <v>2103</v>
      </c>
      <c r="D39" s="63">
        <f t="shared" si="0"/>
        <v>-1.7840463291612152E-2</v>
      </c>
      <c r="F39" s="60">
        <v>45999</v>
      </c>
      <c r="G39" s="62">
        <v>25960.55</v>
      </c>
      <c r="H39" s="63">
        <f t="shared" si="1"/>
        <v>4.6788559442560995E-3</v>
      </c>
    </row>
    <row r="40" spans="2:22" x14ac:dyDescent="0.3">
      <c r="B40" s="60">
        <v>45996</v>
      </c>
      <c r="C40" s="62">
        <v>2147.5</v>
      </c>
      <c r="D40" s="63">
        <f t="shared" si="0"/>
        <v>2.1160247265810783E-2</v>
      </c>
      <c r="F40" s="60">
        <v>45996</v>
      </c>
      <c r="G40" s="62">
        <v>26186.45</v>
      </c>
      <c r="H40" s="63">
        <f t="shared" si="1"/>
        <v>8.7016646411575138E-3</v>
      </c>
    </row>
    <row r="41" spans="2:22" x14ac:dyDescent="0.3">
      <c r="B41" s="60">
        <v>45995</v>
      </c>
      <c r="C41" s="62">
        <v>2111.9</v>
      </c>
      <c r="D41" s="63">
        <f t="shared" si="0"/>
        <v>-1.6577415599534295E-2</v>
      </c>
      <c r="F41" s="60">
        <v>45995</v>
      </c>
      <c r="G41" s="62">
        <v>26033.75</v>
      </c>
      <c r="H41" s="63">
        <f t="shared" si="1"/>
        <v>-5.8312600600692877E-3</v>
      </c>
    </row>
    <row r="42" spans="2:22" x14ac:dyDescent="0.3">
      <c r="B42" s="60">
        <v>45994</v>
      </c>
      <c r="C42" s="62">
        <v>2122</v>
      </c>
      <c r="D42" s="63">
        <f t="shared" si="0"/>
        <v>4.7824234101994101E-3</v>
      </c>
      <c r="F42" s="60">
        <v>45994</v>
      </c>
      <c r="G42" s="62">
        <v>25986</v>
      </c>
      <c r="H42" s="63">
        <f t="shared" si="1"/>
        <v>-1.8341575839054824E-3</v>
      </c>
    </row>
    <row r="43" spans="2:22" x14ac:dyDescent="0.3">
      <c r="B43" s="60">
        <v>45993</v>
      </c>
      <c r="C43" s="62">
        <v>2140.8000000000002</v>
      </c>
      <c r="D43" s="63">
        <f t="shared" si="0"/>
        <v>8.8595664467483459E-3</v>
      </c>
      <c r="F43" s="60">
        <v>45993</v>
      </c>
      <c r="G43" s="62">
        <v>26032.2</v>
      </c>
      <c r="H43" s="63">
        <f t="shared" si="1"/>
        <v>1.7778803971368884E-3</v>
      </c>
    </row>
    <row r="44" spans="2:22" x14ac:dyDescent="0.3">
      <c r="B44" s="60">
        <v>45992</v>
      </c>
      <c r="C44" s="62">
        <v>2071.3000000000002</v>
      </c>
      <c r="D44" s="63">
        <f t="shared" si="0"/>
        <v>-3.2464499252615853E-2</v>
      </c>
      <c r="F44" s="60">
        <v>45992</v>
      </c>
      <c r="G44" s="62">
        <v>26175.75</v>
      </c>
      <c r="H44" s="63">
        <f t="shared" si="1"/>
        <v>5.5143245672666374E-3</v>
      </c>
    </row>
    <row r="45" spans="2:22" x14ac:dyDescent="0.3">
      <c r="B45" s="60">
        <v>45989</v>
      </c>
      <c r="C45" s="62">
        <v>2069.6</v>
      </c>
      <c r="D45" s="63">
        <f t="shared" si="0"/>
        <v>-8.2074059769243757E-4</v>
      </c>
      <c r="F45" s="60">
        <v>45989</v>
      </c>
      <c r="G45" s="62">
        <v>26202.95</v>
      </c>
      <c r="H45" s="63">
        <f t="shared" si="1"/>
        <v>1.0391297288521173E-3</v>
      </c>
    </row>
    <row r="46" spans="2:22" x14ac:dyDescent="0.3">
      <c r="B46" s="60">
        <v>45988</v>
      </c>
      <c r="C46" s="62">
        <v>2063.5</v>
      </c>
      <c r="D46" s="63">
        <f t="shared" si="0"/>
        <v>-2.9474294549670654E-3</v>
      </c>
      <c r="F46" s="60">
        <v>45988</v>
      </c>
      <c r="G46" s="62">
        <v>26215.55</v>
      </c>
      <c r="H46" s="63">
        <f t="shared" si="1"/>
        <v>4.8086188768814431E-4</v>
      </c>
    </row>
    <row r="47" spans="2:22" x14ac:dyDescent="0.3">
      <c r="B47" s="60">
        <v>45987</v>
      </c>
      <c r="C47" s="62">
        <v>2063.6</v>
      </c>
      <c r="D47" s="63">
        <f t="shared" si="0"/>
        <v>4.8461352071704766E-5</v>
      </c>
      <c r="F47" s="60">
        <v>45987</v>
      </c>
      <c r="G47" s="62">
        <v>26205.3</v>
      </c>
      <c r="H47" s="63">
        <f t="shared" si="1"/>
        <v>-3.9098931740899623E-4</v>
      </c>
    </row>
    <row r="48" spans="2:22" x14ac:dyDescent="0.3">
      <c r="B48" s="60">
        <v>45986</v>
      </c>
      <c r="C48" s="62">
        <v>2178.3000000000002</v>
      </c>
      <c r="D48" s="63">
        <f t="shared" si="0"/>
        <v>5.5582477224268345E-2</v>
      </c>
      <c r="F48" s="60">
        <v>45986</v>
      </c>
      <c r="G48" s="62">
        <v>25884.799999999999</v>
      </c>
      <c r="H48" s="63">
        <f t="shared" si="1"/>
        <v>-1.2230350348975239E-2</v>
      </c>
    </row>
    <row r="49" spans="2:8" x14ac:dyDescent="0.3">
      <c r="B49" s="60">
        <v>45985</v>
      </c>
      <c r="C49" s="62">
        <v>2051.1999999999998</v>
      </c>
      <c r="D49" s="63">
        <f t="shared" si="0"/>
        <v>-5.8348253224992153E-2</v>
      </c>
      <c r="F49" s="60">
        <v>45985</v>
      </c>
      <c r="G49" s="62">
        <v>25959.5</v>
      </c>
      <c r="H49" s="63">
        <f t="shared" si="1"/>
        <v>2.8858635183584003E-3</v>
      </c>
    </row>
    <row r="50" spans="2:8" x14ac:dyDescent="0.3">
      <c r="B50" s="60">
        <v>45982</v>
      </c>
      <c r="C50" s="62">
        <v>1994.4</v>
      </c>
      <c r="D50" s="63">
        <f t="shared" si="0"/>
        <v>-2.7691107644305601E-2</v>
      </c>
      <c r="F50" s="60">
        <v>45982</v>
      </c>
      <c r="G50" s="62">
        <v>26068.15</v>
      </c>
      <c r="H50" s="63">
        <f t="shared" si="1"/>
        <v>4.1853656657486749E-3</v>
      </c>
    </row>
    <row r="51" spans="2:8" x14ac:dyDescent="0.3">
      <c r="B51" s="60">
        <v>45981</v>
      </c>
      <c r="C51" s="62">
        <v>2031.2</v>
      </c>
      <c r="D51" s="63">
        <f t="shared" si="0"/>
        <v>1.8451664661050859E-2</v>
      </c>
      <c r="F51" s="60">
        <v>45981</v>
      </c>
      <c r="G51" s="62">
        <v>26192.15</v>
      </c>
      <c r="H51" s="63">
        <f t="shared" si="1"/>
        <v>4.7567625627442656E-3</v>
      </c>
    </row>
    <row r="52" spans="2:8" x14ac:dyDescent="0.3">
      <c r="B52" s="60">
        <v>45980</v>
      </c>
      <c r="C52" s="62">
        <v>2051.1999999999998</v>
      </c>
      <c r="D52" s="63">
        <f t="shared" si="0"/>
        <v>9.846396218983644E-3</v>
      </c>
      <c r="F52" s="60">
        <v>45980</v>
      </c>
      <c r="G52" s="62">
        <v>26052.65</v>
      </c>
      <c r="H52" s="63">
        <f t="shared" si="1"/>
        <v>-5.3260232550592645E-3</v>
      </c>
    </row>
    <row r="53" spans="2:8" x14ac:dyDescent="0.3">
      <c r="B53" s="60">
        <v>45979</v>
      </c>
      <c r="C53" s="62">
        <v>2024.5</v>
      </c>
      <c r="D53" s="63">
        <f t="shared" si="0"/>
        <v>-1.3016770670826738E-2</v>
      </c>
      <c r="F53" s="60">
        <v>45979</v>
      </c>
      <c r="G53" s="62">
        <v>25910.05</v>
      </c>
      <c r="H53" s="63">
        <f t="shared" si="1"/>
        <v>-5.4735314833617155E-3</v>
      </c>
    </row>
    <row r="54" spans="2:8" x14ac:dyDescent="0.3">
      <c r="B54" s="60">
        <v>45978</v>
      </c>
      <c r="C54" s="62">
        <v>2004.8</v>
      </c>
      <c r="D54" s="63">
        <f t="shared" si="0"/>
        <v>-9.7307977278340285E-3</v>
      </c>
      <c r="F54" s="60">
        <v>45978</v>
      </c>
      <c r="G54" s="62">
        <v>26013.45</v>
      </c>
      <c r="H54" s="63">
        <f t="shared" si="1"/>
        <v>3.9907294659795589E-3</v>
      </c>
    </row>
    <row r="55" spans="2:8" x14ac:dyDescent="0.3">
      <c r="B55" s="60">
        <v>45975</v>
      </c>
      <c r="C55" s="62">
        <v>1905</v>
      </c>
      <c r="D55" s="63">
        <f t="shared" si="0"/>
        <v>-4.9780526735833996E-2</v>
      </c>
      <c r="F55" s="60">
        <v>45975</v>
      </c>
      <c r="G55" s="62">
        <v>25910.05</v>
      </c>
      <c r="H55" s="63">
        <f t="shared" si="1"/>
        <v>-3.9748668477268545E-3</v>
      </c>
    </row>
    <row r="56" spans="2:8" x14ac:dyDescent="0.3">
      <c r="B56" s="60">
        <v>45974</v>
      </c>
      <c r="C56" s="62">
        <v>1917.2</v>
      </c>
      <c r="D56" s="63">
        <f t="shared" si="0"/>
        <v>6.4041994750656528E-3</v>
      </c>
      <c r="F56" s="60">
        <v>45974</v>
      </c>
      <c r="G56" s="62">
        <v>25879.15</v>
      </c>
      <c r="H56" s="63">
        <f t="shared" si="1"/>
        <v>-1.1925874322896712E-3</v>
      </c>
    </row>
    <row r="57" spans="2:8" x14ac:dyDescent="0.3">
      <c r="B57" s="60">
        <v>45973</v>
      </c>
      <c r="C57" s="62">
        <v>1896.9</v>
      </c>
      <c r="D57" s="63">
        <f t="shared" si="0"/>
        <v>-1.0588358022115552E-2</v>
      </c>
      <c r="F57" s="60">
        <v>45973</v>
      </c>
      <c r="G57" s="62">
        <v>25875.8</v>
      </c>
      <c r="H57" s="63">
        <f t="shared" si="1"/>
        <v>-1.2944783735180376E-4</v>
      </c>
    </row>
    <row r="58" spans="2:8" x14ac:dyDescent="0.3">
      <c r="B58" s="60">
        <v>45972</v>
      </c>
      <c r="C58" s="62">
        <v>1936.6</v>
      </c>
      <c r="D58" s="63">
        <f t="shared" si="0"/>
        <v>2.092888396858017E-2</v>
      </c>
      <c r="F58" s="60">
        <v>45972</v>
      </c>
      <c r="G58" s="62">
        <v>25694.95</v>
      </c>
      <c r="H58" s="63">
        <f t="shared" si="1"/>
        <v>-6.989155890832266E-3</v>
      </c>
    </row>
    <row r="59" spans="2:8" x14ac:dyDescent="0.3">
      <c r="B59" s="60">
        <v>45971</v>
      </c>
      <c r="C59" s="62">
        <v>2057.3000000000002</v>
      </c>
      <c r="D59" s="63">
        <f t="shared" si="0"/>
        <v>6.232572549829607E-2</v>
      </c>
      <c r="F59" s="60">
        <v>45971</v>
      </c>
      <c r="G59" s="62">
        <v>25574.35</v>
      </c>
      <c r="H59" s="63">
        <f t="shared" si="1"/>
        <v>-4.6935292732619427E-3</v>
      </c>
    </row>
    <row r="60" spans="2:8" x14ac:dyDescent="0.3">
      <c r="B60" s="60">
        <v>45968</v>
      </c>
      <c r="C60" s="62">
        <v>2050.3000000000002</v>
      </c>
      <c r="D60" s="63">
        <f t="shared" si="0"/>
        <v>-3.402517863218768E-3</v>
      </c>
      <c r="F60" s="60">
        <v>45968</v>
      </c>
      <c r="G60" s="62">
        <v>25492.3</v>
      </c>
      <c r="H60" s="63">
        <f t="shared" si="1"/>
        <v>-3.2082926838804537E-3</v>
      </c>
    </row>
    <row r="61" spans="2:8" x14ac:dyDescent="0.3">
      <c r="B61" s="60">
        <v>45967</v>
      </c>
      <c r="C61" s="62">
        <v>2032.9</v>
      </c>
      <c r="D61" s="63">
        <f t="shared" si="0"/>
        <v>-8.4865629420085575E-3</v>
      </c>
      <c r="F61" s="60">
        <v>45967</v>
      </c>
      <c r="G61" s="62">
        <v>25509.7</v>
      </c>
      <c r="H61" s="63">
        <f t="shared" si="1"/>
        <v>6.8255904724168204E-4</v>
      </c>
    </row>
    <row r="62" spans="2:8" x14ac:dyDescent="0.3">
      <c r="B62" s="60">
        <v>45965</v>
      </c>
      <c r="C62" s="62">
        <v>2076</v>
      </c>
      <c r="D62" s="63">
        <f t="shared" si="0"/>
        <v>2.1201239608441114E-2</v>
      </c>
      <c r="F62" s="60">
        <v>45965</v>
      </c>
      <c r="G62" s="62">
        <v>25597.65</v>
      </c>
      <c r="H62" s="63">
        <f t="shared" si="1"/>
        <v>3.4477081267125786E-3</v>
      </c>
    </row>
    <row r="63" spans="2:8" x14ac:dyDescent="0.3">
      <c r="B63" s="60">
        <v>45964</v>
      </c>
      <c r="C63" s="62">
        <v>2109</v>
      </c>
      <c r="D63" s="63">
        <f t="shared" si="0"/>
        <v>1.5895953757225412E-2</v>
      </c>
      <c r="F63" s="60">
        <v>45964</v>
      </c>
      <c r="G63" s="62">
        <v>25763.35</v>
      </c>
      <c r="H63" s="63">
        <f t="shared" si="1"/>
        <v>6.4732504741644714E-3</v>
      </c>
    </row>
    <row r="64" spans="2:8" x14ac:dyDescent="0.3">
      <c r="B64" s="60">
        <v>45961</v>
      </c>
      <c r="C64" s="62">
        <v>2056.8000000000002</v>
      </c>
      <c r="D64" s="63">
        <f t="shared" si="0"/>
        <v>-2.4751066856329884E-2</v>
      </c>
      <c r="F64" s="60">
        <v>45961</v>
      </c>
      <c r="G64" s="62">
        <v>25722.1</v>
      </c>
      <c r="H64" s="63">
        <f t="shared" si="1"/>
        <v>-1.6011116566750916E-3</v>
      </c>
    </row>
    <row r="65" spans="2:8" x14ac:dyDescent="0.3">
      <c r="B65" s="60">
        <v>45960</v>
      </c>
      <c r="C65" s="62">
        <v>2072</v>
      </c>
      <c r="D65" s="63">
        <f t="shared" si="0"/>
        <v>7.390120575651471E-3</v>
      </c>
      <c r="F65" s="60">
        <v>45960</v>
      </c>
      <c r="G65" s="62">
        <v>25877.85</v>
      </c>
      <c r="H65" s="63">
        <f t="shared" si="1"/>
        <v>6.0551043655066028E-3</v>
      </c>
    </row>
    <row r="66" spans="2:8" x14ac:dyDescent="0.3">
      <c r="B66" s="60">
        <v>45959</v>
      </c>
      <c r="C66" s="62">
        <v>2011.6</v>
      </c>
      <c r="D66" s="63">
        <f t="shared" si="0"/>
        <v>-2.915057915057917E-2</v>
      </c>
      <c r="F66" s="60">
        <v>45959</v>
      </c>
      <c r="G66" s="62">
        <v>26053.9</v>
      </c>
      <c r="H66" s="63">
        <f t="shared" si="1"/>
        <v>6.803115405646265E-3</v>
      </c>
    </row>
    <row r="67" spans="2:8" x14ac:dyDescent="0.3">
      <c r="B67" s="60">
        <v>45958</v>
      </c>
      <c r="C67" s="62">
        <v>1994.7</v>
      </c>
      <c r="D67" s="63">
        <f t="shared" si="0"/>
        <v>-8.4012726188108511E-3</v>
      </c>
      <c r="F67" s="60">
        <v>45958</v>
      </c>
      <c r="G67" s="62">
        <v>25936.2</v>
      </c>
      <c r="H67" s="63">
        <f t="shared" si="1"/>
        <v>-4.5175578320328924E-3</v>
      </c>
    </row>
    <row r="68" spans="2:8" x14ac:dyDescent="0.3">
      <c r="B68" s="60">
        <v>45957</v>
      </c>
      <c r="C68" s="62">
        <v>2045.6</v>
      </c>
      <c r="D68" s="63">
        <f t="shared" si="0"/>
        <v>2.5517621697498383E-2</v>
      </c>
      <c r="F68" s="60">
        <v>45957</v>
      </c>
      <c r="G68" s="62">
        <v>25966.05</v>
      </c>
      <c r="H68" s="63">
        <f t="shared" si="1"/>
        <v>1.1509010572094969E-3</v>
      </c>
    </row>
    <row r="69" spans="2:8" x14ac:dyDescent="0.3">
      <c r="B69" s="60">
        <v>45954</v>
      </c>
      <c r="C69" s="62">
        <v>1905.2</v>
      </c>
      <c r="D69" s="63">
        <f t="shared" si="0"/>
        <v>-6.8635119280406665E-2</v>
      </c>
      <c r="F69" s="60">
        <v>45954</v>
      </c>
      <c r="G69" s="62">
        <v>25795.15</v>
      </c>
      <c r="H69" s="63">
        <f t="shared" si="1"/>
        <v>-6.581671066642758E-3</v>
      </c>
    </row>
    <row r="70" spans="2:8" x14ac:dyDescent="0.3">
      <c r="B70" s="60">
        <v>45953</v>
      </c>
      <c r="C70" s="62">
        <v>1917.5</v>
      </c>
      <c r="D70" s="63">
        <f t="shared" si="0"/>
        <v>6.4560151165231616E-3</v>
      </c>
      <c r="F70" s="60">
        <v>45953</v>
      </c>
      <c r="G70" s="62">
        <v>25891.4</v>
      </c>
      <c r="H70" s="63">
        <f t="shared" si="1"/>
        <v>3.7313215856469295E-3</v>
      </c>
    </row>
    <row r="71" spans="2:8" x14ac:dyDescent="0.3">
      <c r="B71" s="60">
        <v>45951</v>
      </c>
      <c r="C71" s="62">
        <v>1944.8</v>
      </c>
      <c r="D71" s="63">
        <f t="shared" si="0"/>
        <v>1.4237288135593218E-2</v>
      </c>
      <c r="F71" s="60">
        <v>45951</v>
      </c>
      <c r="G71" s="62">
        <v>25868.6</v>
      </c>
      <c r="H71" s="63">
        <f t="shared" si="1"/>
        <v>-8.8060128073430555E-4</v>
      </c>
    </row>
    <row r="72" spans="2:8" x14ac:dyDescent="0.3">
      <c r="B72" s="60">
        <v>45950</v>
      </c>
      <c r="C72" s="62">
        <v>1889.4</v>
      </c>
      <c r="D72" s="63">
        <f t="shared" si="0"/>
        <v>-2.848621966269016E-2</v>
      </c>
      <c r="F72" s="60">
        <v>45950</v>
      </c>
      <c r="G72" s="62">
        <v>25843.15</v>
      </c>
      <c r="H72" s="63">
        <f t="shared" si="1"/>
        <v>-9.8381821977211459E-4</v>
      </c>
    </row>
    <row r="73" spans="2:8" x14ac:dyDescent="0.3">
      <c r="B73" s="60">
        <v>45947</v>
      </c>
      <c r="C73" s="62">
        <v>1923.1</v>
      </c>
      <c r="D73" s="63">
        <f t="shared" ref="D73:D136" si="2">C73/C72-1</f>
        <v>1.7836350164073256E-2</v>
      </c>
      <c r="F73" s="60">
        <v>45947</v>
      </c>
      <c r="G73" s="62">
        <v>25709.85</v>
      </c>
      <c r="H73" s="63">
        <f t="shared" ref="H73:H136" si="3">G73/G72-1</f>
        <v>-5.1580399448211134E-3</v>
      </c>
    </row>
    <row r="74" spans="2:8" x14ac:dyDescent="0.3">
      <c r="B74" s="60">
        <v>45946</v>
      </c>
      <c r="C74" s="62">
        <v>1952.1</v>
      </c>
      <c r="D74" s="63">
        <f t="shared" si="2"/>
        <v>1.5079819042171483E-2</v>
      </c>
      <c r="F74" s="60">
        <v>45946</v>
      </c>
      <c r="G74" s="62">
        <v>25585.3</v>
      </c>
      <c r="H74" s="63">
        <f t="shared" si="3"/>
        <v>-4.8444467781803002E-3</v>
      </c>
    </row>
    <row r="75" spans="2:8" x14ac:dyDescent="0.3">
      <c r="B75" s="60">
        <v>45945</v>
      </c>
      <c r="C75" s="62">
        <v>1999.1</v>
      </c>
      <c r="D75" s="63">
        <f t="shared" si="2"/>
        <v>2.4076635418267545E-2</v>
      </c>
      <c r="F75" s="60">
        <v>45945</v>
      </c>
      <c r="G75" s="62">
        <v>25323.55</v>
      </c>
      <c r="H75" s="63">
        <f t="shared" si="3"/>
        <v>-1.0230483910683041E-2</v>
      </c>
    </row>
    <row r="76" spans="2:8" x14ac:dyDescent="0.3">
      <c r="B76" s="60">
        <v>45944</v>
      </c>
      <c r="C76" s="62">
        <v>2003.6</v>
      </c>
      <c r="D76" s="63">
        <f t="shared" si="2"/>
        <v>2.2510129558301895E-3</v>
      </c>
      <c r="F76" s="60">
        <v>45944</v>
      </c>
      <c r="G76" s="62">
        <v>25145.5</v>
      </c>
      <c r="H76" s="63">
        <f t="shared" si="3"/>
        <v>-7.0310047366975992E-3</v>
      </c>
    </row>
    <row r="77" spans="2:8" x14ac:dyDescent="0.3">
      <c r="B77" s="60">
        <v>45943</v>
      </c>
      <c r="C77" s="62">
        <v>2025.1</v>
      </c>
      <c r="D77" s="63">
        <f t="shared" si="2"/>
        <v>1.0730684767418674E-2</v>
      </c>
      <c r="F77" s="60">
        <v>45943</v>
      </c>
      <c r="G77" s="62">
        <v>25227.35</v>
      </c>
      <c r="H77" s="63">
        <f t="shared" si="3"/>
        <v>3.2550555765444855E-3</v>
      </c>
    </row>
    <row r="78" spans="2:8" x14ac:dyDescent="0.3">
      <c r="B78" s="60">
        <v>45940</v>
      </c>
      <c r="C78" s="62">
        <v>2018</v>
      </c>
      <c r="D78" s="63">
        <f t="shared" si="2"/>
        <v>-3.5059997037183432E-3</v>
      </c>
      <c r="F78" s="60">
        <v>45940</v>
      </c>
      <c r="G78" s="62">
        <v>25285.35</v>
      </c>
      <c r="H78" s="63">
        <f t="shared" si="3"/>
        <v>2.2990920568350948E-3</v>
      </c>
    </row>
    <row r="79" spans="2:8" x14ac:dyDescent="0.3">
      <c r="B79" s="60">
        <v>45939</v>
      </c>
      <c r="C79" s="62">
        <v>2034.9</v>
      </c>
      <c r="D79" s="63">
        <f t="shared" si="2"/>
        <v>8.3746283448959957E-3</v>
      </c>
      <c r="F79" s="60">
        <v>45939</v>
      </c>
      <c r="G79" s="62">
        <v>25181.8</v>
      </c>
      <c r="H79" s="63">
        <f t="shared" si="3"/>
        <v>-4.0952567395744488E-3</v>
      </c>
    </row>
    <row r="80" spans="2:8" x14ac:dyDescent="0.3">
      <c r="B80" s="60">
        <v>45938</v>
      </c>
      <c r="C80" s="62">
        <v>1929</v>
      </c>
      <c r="D80" s="63">
        <f t="shared" si="2"/>
        <v>-5.2041869379330752E-2</v>
      </c>
      <c r="F80" s="60">
        <v>45938</v>
      </c>
      <c r="G80" s="62">
        <v>25046.15</v>
      </c>
      <c r="H80" s="63">
        <f t="shared" si="3"/>
        <v>-5.38682699409887E-3</v>
      </c>
    </row>
    <row r="81" spans="2:8" x14ac:dyDescent="0.3">
      <c r="B81" s="60">
        <v>45937</v>
      </c>
      <c r="C81" s="62">
        <v>1823.8</v>
      </c>
      <c r="D81" s="63">
        <f t="shared" si="2"/>
        <v>-5.4536029030585853E-2</v>
      </c>
      <c r="F81" s="60">
        <v>45937</v>
      </c>
      <c r="G81" s="62">
        <v>25108.3</v>
      </c>
      <c r="H81" s="63">
        <f t="shared" si="3"/>
        <v>2.481419299972254E-3</v>
      </c>
    </row>
    <row r="82" spans="2:8" x14ac:dyDescent="0.3">
      <c r="B82" s="60">
        <v>45936</v>
      </c>
      <c r="C82" s="62">
        <v>1791.6</v>
      </c>
      <c r="D82" s="63">
        <f t="shared" si="2"/>
        <v>-1.7655444675951371E-2</v>
      </c>
      <c r="F82" s="60">
        <v>45936</v>
      </c>
      <c r="G82" s="62">
        <v>25077.65</v>
      </c>
      <c r="H82" s="63">
        <f t="shared" si="3"/>
        <v>-1.2207118761524693E-3</v>
      </c>
    </row>
    <row r="83" spans="2:8" x14ac:dyDescent="0.3">
      <c r="B83" s="60">
        <v>45933</v>
      </c>
      <c r="C83" s="62">
        <v>1718.5</v>
      </c>
      <c r="D83" s="63">
        <f t="shared" si="2"/>
        <v>-4.0801518196025843E-2</v>
      </c>
      <c r="F83" s="60">
        <v>45933</v>
      </c>
      <c r="G83" s="62">
        <v>24894.25</v>
      </c>
      <c r="H83" s="63">
        <f t="shared" si="3"/>
        <v>-7.3132849369857977E-3</v>
      </c>
    </row>
    <row r="84" spans="2:8" x14ac:dyDescent="0.3">
      <c r="B84" s="60">
        <v>45931</v>
      </c>
      <c r="C84" s="62">
        <v>1667.2</v>
      </c>
      <c r="D84" s="63">
        <f t="shared" si="2"/>
        <v>-2.9851614780331603E-2</v>
      </c>
      <c r="F84" s="60">
        <v>45931</v>
      </c>
      <c r="G84" s="62">
        <v>24836.3</v>
      </c>
      <c r="H84" s="63">
        <f t="shared" si="3"/>
        <v>-2.3278467919298773E-3</v>
      </c>
    </row>
    <row r="85" spans="2:8" x14ac:dyDescent="0.3">
      <c r="B85" s="60">
        <v>45930</v>
      </c>
      <c r="C85" s="62">
        <v>1646.8</v>
      </c>
      <c r="D85" s="63">
        <f t="shared" si="2"/>
        <v>-1.2236084452975082E-2</v>
      </c>
      <c r="F85" s="60">
        <v>45930</v>
      </c>
      <c r="G85" s="62">
        <v>24611.1</v>
      </c>
      <c r="H85" s="63">
        <f t="shared" si="3"/>
        <v>-9.0673731594480556E-3</v>
      </c>
    </row>
    <row r="86" spans="2:8" x14ac:dyDescent="0.3">
      <c r="B86" s="60">
        <v>45929</v>
      </c>
      <c r="C86" s="62">
        <v>1629.8</v>
      </c>
      <c r="D86" s="63">
        <f t="shared" si="2"/>
        <v>-1.032305076512019E-2</v>
      </c>
      <c r="F86" s="60">
        <v>45929</v>
      </c>
      <c r="G86" s="62">
        <v>24634.9</v>
      </c>
      <c r="H86" s="63">
        <f t="shared" si="3"/>
        <v>9.6704332597896681E-4</v>
      </c>
    </row>
    <row r="87" spans="2:8" x14ac:dyDescent="0.3">
      <c r="B87" s="60">
        <v>45926</v>
      </c>
      <c r="C87" s="62">
        <v>1652.2</v>
      </c>
      <c r="D87" s="63">
        <f t="shared" si="2"/>
        <v>1.3744017670879849E-2</v>
      </c>
      <c r="F87" s="60">
        <v>45926</v>
      </c>
      <c r="G87" s="62">
        <v>24654.7</v>
      </c>
      <c r="H87" s="63">
        <f t="shared" si="3"/>
        <v>8.0373778663589412E-4</v>
      </c>
    </row>
    <row r="88" spans="2:8" x14ac:dyDescent="0.3">
      <c r="B88" s="60">
        <v>45925</v>
      </c>
      <c r="C88" s="62">
        <v>1708.1</v>
      </c>
      <c r="D88" s="63">
        <f t="shared" si="2"/>
        <v>3.3833676310373928E-2</v>
      </c>
      <c r="F88" s="60">
        <v>45925</v>
      </c>
      <c r="G88" s="62">
        <v>24890.85</v>
      </c>
      <c r="H88" s="63">
        <f t="shared" si="3"/>
        <v>9.5782954162897394E-3</v>
      </c>
    </row>
    <row r="89" spans="2:8" x14ac:dyDescent="0.3">
      <c r="B89" s="60">
        <v>45924</v>
      </c>
      <c r="C89" s="62">
        <v>1730.5</v>
      </c>
      <c r="D89" s="63">
        <f t="shared" si="2"/>
        <v>1.3113986300568037E-2</v>
      </c>
      <c r="F89" s="60">
        <v>45924</v>
      </c>
      <c r="G89" s="62">
        <v>25056.9</v>
      </c>
      <c r="H89" s="63">
        <f t="shared" si="3"/>
        <v>6.671126136712946E-3</v>
      </c>
    </row>
    <row r="90" spans="2:8" x14ac:dyDescent="0.3">
      <c r="B90" s="60">
        <v>45923</v>
      </c>
      <c r="C90" s="62">
        <v>1729</v>
      </c>
      <c r="D90" s="63">
        <f t="shared" si="2"/>
        <v>-8.6680150245588283E-4</v>
      </c>
      <c r="F90" s="60">
        <v>45923</v>
      </c>
      <c r="G90" s="62">
        <v>25169.5</v>
      </c>
      <c r="H90" s="63">
        <f t="shared" si="3"/>
        <v>4.4937721745306192E-3</v>
      </c>
    </row>
    <row r="91" spans="2:8" x14ac:dyDescent="0.3">
      <c r="B91" s="60">
        <v>45922</v>
      </c>
      <c r="C91" s="62">
        <v>1694.9</v>
      </c>
      <c r="D91" s="63">
        <f t="shared" si="2"/>
        <v>-1.9722382880277611E-2</v>
      </c>
      <c r="F91" s="60">
        <v>45922</v>
      </c>
      <c r="G91" s="62">
        <v>25202.35</v>
      </c>
      <c r="H91" s="63">
        <f t="shared" si="3"/>
        <v>1.3051510757067231E-3</v>
      </c>
    </row>
    <row r="92" spans="2:8" x14ac:dyDescent="0.3">
      <c r="B92" s="60">
        <v>45919</v>
      </c>
      <c r="C92" s="62">
        <v>1713</v>
      </c>
      <c r="D92" s="63">
        <f t="shared" si="2"/>
        <v>1.0679096111865016E-2</v>
      </c>
      <c r="F92" s="60">
        <v>45919</v>
      </c>
      <c r="G92" s="62">
        <v>25327.05</v>
      </c>
      <c r="H92" s="63">
        <f t="shared" si="3"/>
        <v>4.9479512823209504E-3</v>
      </c>
    </row>
    <row r="93" spans="2:8" x14ac:dyDescent="0.3">
      <c r="B93" s="60">
        <v>45918</v>
      </c>
      <c r="C93" s="62">
        <v>1729</v>
      </c>
      <c r="D93" s="63">
        <f t="shared" si="2"/>
        <v>9.3403385872736777E-3</v>
      </c>
      <c r="F93" s="60">
        <v>45918</v>
      </c>
      <c r="G93" s="62">
        <v>25423.599999999999</v>
      </c>
      <c r="H93" s="63">
        <f t="shared" si="3"/>
        <v>3.8121297190158998E-3</v>
      </c>
    </row>
    <row r="94" spans="2:8" x14ac:dyDescent="0.3">
      <c r="B94" s="60">
        <v>45917</v>
      </c>
      <c r="C94" s="62">
        <v>1752.2</v>
      </c>
      <c r="D94" s="63">
        <f t="shared" si="2"/>
        <v>1.3418160786581756E-2</v>
      </c>
      <c r="F94" s="60">
        <v>45917</v>
      </c>
      <c r="G94" s="62">
        <v>25330.25</v>
      </c>
      <c r="H94" s="63">
        <f t="shared" si="3"/>
        <v>-3.6717852703785914E-3</v>
      </c>
    </row>
    <row r="95" spans="2:8" x14ac:dyDescent="0.3">
      <c r="B95" s="60">
        <v>45916</v>
      </c>
      <c r="C95" s="62">
        <v>1722.7</v>
      </c>
      <c r="D95" s="63">
        <f t="shared" si="2"/>
        <v>-1.683597762812461E-2</v>
      </c>
      <c r="F95" s="60">
        <v>45916</v>
      </c>
      <c r="G95" s="62">
        <v>25239.1</v>
      </c>
      <c r="H95" s="63">
        <f t="shared" si="3"/>
        <v>-3.5984642867717964E-3</v>
      </c>
    </row>
    <row r="96" spans="2:8" x14ac:dyDescent="0.3">
      <c r="B96" s="60">
        <v>45915</v>
      </c>
      <c r="C96" s="62">
        <v>1726.6</v>
      </c>
      <c r="D96" s="63">
        <f t="shared" si="2"/>
        <v>2.2638880826608698E-3</v>
      </c>
      <c r="F96" s="60">
        <v>45915</v>
      </c>
      <c r="G96" s="62">
        <v>25069.200000000001</v>
      </c>
      <c r="H96" s="63">
        <f t="shared" si="3"/>
        <v>-6.7316187978175845E-3</v>
      </c>
    </row>
    <row r="97" spans="2:8" x14ac:dyDescent="0.3">
      <c r="B97" s="60">
        <v>45912</v>
      </c>
      <c r="C97" s="62">
        <v>1726.4</v>
      </c>
      <c r="D97" s="63">
        <f t="shared" si="2"/>
        <v>-1.1583458820796366E-4</v>
      </c>
      <c r="F97" s="60">
        <v>45912</v>
      </c>
      <c r="G97" s="62">
        <v>25114</v>
      </c>
      <c r="H97" s="63">
        <f t="shared" si="3"/>
        <v>1.7870534360888701E-3</v>
      </c>
    </row>
    <row r="98" spans="2:8" x14ac:dyDescent="0.3">
      <c r="B98" s="60">
        <v>45911</v>
      </c>
      <c r="C98" s="62">
        <v>1740.4</v>
      </c>
      <c r="D98" s="63">
        <f t="shared" si="2"/>
        <v>8.1093605189990203E-3</v>
      </c>
      <c r="F98" s="60">
        <v>45911</v>
      </c>
      <c r="G98" s="62">
        <v>25005.5</v>
      </c>
      <c r="H98" s="63">
        <f t="shared" si="3"/>
        <v>-4.3202994345783452E-3</v>
      </c>
    </row>
    <row r="99" spans="2:8" x14ac:dyDescent="0.3">
      <c r="B99" s="60">
        <v>45910</v>
      </c>
      <c r="C99" s="62">
        <v>1806.6</v>
      </c>
      <c r="D99" s="63">
        <f t="shared" si="2"/>
        <v>3.8037232820041345E-2</v>
      </c>
      <c r="F99" s="60">
        <v>45910</v>
      </c>
      <c r="G99" s="62">
        <v>24973.1</v>
      </c>
      <c r="H99" s="63">
        <f t="shared" si="3"/>
        <v>-1.2957149427126335E-3</v>
      </c>
    </row>
    <row r="100" spans="2:8" x14ac:dyDescent="0.3">
      <c r="B100" s="60">
        <v>45909</v>
      </c>
      <c r="C100" s="62">
        <v>1797.4</v>
      </c>
      <c r="D100" s="63">
        <f t="shared" si="2"/>
        <v>-5.0924388353812411E-3</v>
      </c>
      <c r="F100" s="60">
        <v>45909</v>
      </c>
      <c r="G100" s="62">
        <v>24868.6</v>
      </c>
      <c r="H100" s="63">
        <f t="shared" si="3"/>
        <v>-4.1845025247165824E-3</v>
      </c>
    </row>
    <row r="101" spans="2:8" x14ac:dyDescent="0.3">
      <c r="B101" s="60">
        <v>45908</v>
      </c>
      <c r="C101" s="62">
        <v>1835.1</v>
      </c>
      <c r="D101" s="63">
        <f t="shared" si="2"/>
        <v>2.0974741292978605E-2</v>
      </c>
      <c r="F101" s="60">
        <v>45908</v>
      </c>
      <c r="G101" s="62">
        <v>24773.15</v>
      </c>
      <c r="H101" s="63">
        <f t="shared" si="3"/>
        <v>-3.838173439598358E-3</v>
      </c>
    </row>
    <row r="102" spans="2:8" x14ac:dyDescent="0.3">
      <c r="B102" s="60">
        <v>45905</v>
      </c>
      <c r="C102" s="62">
        <v>1657.6</v>
      </c>
      <c r="D102" s="63">
        <f t="shared" si="2"/>
        <v>-9.6724974115852014E-2</v>
      </c>
      <c r="F102" s="60">
        <v>45905</v>
      </c>
      <c r="G102" s="62">
        <v>24741</v>
      </c>
      <c r="H102" s="63">
        <f t="shared" si="3"/>
        <v>-1.2977760196019039E-3</v>
      </c>
    </row>
    <row r="103" spans="2:8" x14ac:dyDescent="0.3">
      <c r="B103" s="60">
        <v>45904</v>
      </c>
      <c r="C103" s="62">
        <v>1599</v>
      </c>
      <c r="D103" s="63">
        <f t="shared" si="2"/>
        <v>-3.5352316602316525E-2</v>
      </c>
      <c r="F103" s="60">
        <v>45904</v>
      </c>
      <c r="G103" s="62">
        <v>24734.3</v>
      </c>
      <c r="H103" s="63">
        <f t="shared" si="3"/>
        <v>-2.7080554545089175E-4</v>
      </c>
    </row>
    <row r="104" spans="2:8" x14ac:dyDescent="0.3">
      <c r="B104" s="60">
        <v>45903</v>
      </c>
      <c r="C104" s="62">
        <v>1617.7</v>
      </c>
      <c r="D104" s="63">
        <f t="shared" si="2"/>
        <v>1.1694809255784921E-2</v>
      </c>
      <c r="F104" s="60">
        <v>45903</v>
      </c>
      <c r="G104" s="62">
        <v>24715.05</v>
      </c>
      <c r="H104" s="63">
        <f t="shared" si="3"/>
        <v>-7.7827146917441858E-4</v>
      </c>
    </row>
    <row r="105" spans="2:8" x14ac:dyDescent="0.3">
      <c r="B105" s="60">
        <v>45902</v>
      </c>
      <c r="C105" s="62">
        <v>1624.1</v>
      </c>
      <c r="D105" s="63">
        <f t="shared" si="2"/>
        <v>3.9562341596093287E-3</v>
      </c>
      <c r="F105" s="60">
        <v>45902</v>
      </c>
      <c r="G105" s="62">
        <v>24579.599999999999</v>
      </c>
      <c r="H105" s="63">
        <f t="shared" si="3"/>
        <v>-5.4804663555202415E-3</v>
      </c>
    </row>
    <row r="106" spans="2:8" x14ac:dyDescent="0.3">
      <c r="B106" s="60">
        <v>45901</v>
      </c>
      <c r="C106" s="62">
        <v>1678.1</v>
      </c>
      <c r="D106" s="63">
        <f t="shared" si="2"/>
        <v>3.3249184163536727E-2</v>
      </c>
      <c r="F106" s="60">
        <v>45901</v>
      </c>
      <c r="G106" s="62">
        <v>24625.05</v>
      </c>
      <c r="H106" s="63">
        <f t="shared" si="3"/>
        <v>1.8490943709417174E-3</v>
      </c>
    </row>
    <row r="107" spans="2:8" x14ac:dyDescent="0.3">
      <c r="B107" s="60">
        <v>45898</v>
      </c>
      <c r="C107" s="62">
        <v>1685.1</v>
      </c>
      <c r="D107" s="63">
        <f t="shared" si="2"/>
        <v>4.1713843036768061E-3</v>
      </c>
      <c r="F107" s="60">
        <v>45898</v>
      </c>
      <c r="G107" s="62">
        <v>24426.85</v>
      </c>
      <c r="H107" s="63">
        <f t="shared" si="3"/>
        <v>-8.0487146218992667E-3</v>
      </c>
    </row>
    <row r="108" spans="2:8" x14ac:dyDescent="0.3">
      <c r="B108" s="60">
        <v>45897</v>
      </c>
      <c r="C108" s="62">
        <v>1670.1</v>
      </c>
      <c r="D108" s="63">
        <f t="shared" si="2"/>
        <v>-8.9015488695033396E-3</v>
      </c>
      <c r="F108" s="60">
        <v>45897</v>
      </c>
      <c r="G108" s="62">
        <v>24500.9</v>
      </c>
      <c r="H108" s="63">
        <f t="shared" si="3"/>
        <v>3.0315001729654956E-3</v>
      </c>
    </row>
    <row r="109" spans="2:8" x14ac:dyDescent="0.3">
      <c r="B109" s="60">
        <v>45895</v>
      </c>
      <c r="C109" s="62">
        <v>1670.9</v>
      </c>
      <c r="D109" s="63">
        <f t="shared" si="2"/>
        <v>4.7901323274057717E-4</v>
      </c>
      <c r="F109" s="60">
        <v>45895</v>
      </c>
      <c r="G109" s="62">
        <v>24712.05</v>
      </c>
      <c r="H109" s="63">
        <f t="shared" si="3"/>
        <v>8.6180507654820548E-3</v>
      </c>
    </row>
    <row r="110" spans="2:8" x14ac:dyDescent="0.3">
      <c r="B110" s="60">
        <v>45894</v>
      </c>
      <c r="C110" s="62">
        <v>1688.8</v>
      </c>
      <c r="D110" s="63">
        <f t="shared" si="2"/>
        <v>1.0712789514632837E-2</v>
      </c>
      <c r="F110" s="60">
        <v>45894</v>
      </c>
      <c r="G110" s="62">
        <v>24967.75</v>
      </c>
      <c r="H110" s="63">
        <f t="shared" si="3"/>
        <v>1.0347178805481638E-2</v>
      </c>
    </row>
    <row r="111" spans="2:8" x14ac:dyDescent="0.3">
      <c r="B111" s="60">
        <v>45891</v>
      </c>
      <c r="C111" s="62">
        <v>1632.6</v>
      </c>
      <c r="D111" s="63">
        <f t="shared" si="2"/>
        <v>-3.3278067266698241E-2</v>
      </c>
      <c r="F111" s="60">
        <v>45891</v>
      </c>
      <c r="G111" s="62">
        <v>24870.1</v>
      </c>
      <c r="H111" s="63">
        <f t="shared" si="3"/>
        <v>-3.9110452483704927E-3</v>
      </c>
    </row>
    <row r="112" spans="2:8" x14ac:dyDescent="0.3">
      <c r="B112" s="60">
        <v>45890</v>
      </c>
      <c r="C112" s="62">
        <v>1631.4</v>
      </c>
      <c r="D112" s="63">
        <f t="shared" si="2"/>
        <v>-7.3502388827628717E-4</v>
      </c>
      <c r="F112" s="60">
        <v>45890</v>
      </c>
      <c r="G112" s="62">
        <v>25083.75</v>
      </c>
      <c r="H112" s="63">
        <f t="shared" si="3"/>
        <v>8.5906369495900581E-3</v>
      </c>
    </row>
    <row r="113" spans="2:8" x14ac:dyDescent="0.3">
      <c r="B113" s="60">
        <v>45889</v>
      </c>
      <c r="C113" s="62">
        <v>1644</v>
      </c>
      <c r="D113" s="63">
        <f t="shared" si="2"/>
        <v>7.7234277307833832E-3</v>
      </c>
      <c r="F113" s="60">
        <v>45889</v>
      </c>
      <c r="G113" s="62">
        <v>25050.55</v>
      </c>
      <c r="H113" s="63">
        <f t="shared" si="3"/>
        <v>-1.3235660537200822E-3</v>
      </c>
    </row>
    <row r="114" spans="2:8" x14ac:dyDescent="0.3">
      <c r="B114" s="60">
        <v>45888</v>
      </c>
      <c r="C114" s="62">
        <v>1669.8</v>
      </c>
      <c r="D114" s="63">
        <f t="shared" si="2"/>
        <v>1.5693430656934293E-2</v>
      </c>
      <c r="F114" s="60">
        <v>45888</v>
      </c>
      <c r="G114" s="62">
        <v>24980.65</v>
      </c>
      <c r="H114" s="63">
        <f t="shared" si="3"/>
        <v>-2.7903578963335285E-3</v>
      </c>
    </row>
    <row r="115" spans="2:8" x14ac:dyDescent="0.3">
      <c r="B115" s="60">
        <v>45887</v>
      </c>
      <c r="C115" s="62">
        <v>1647.5</v>
      </c>
      <c r="D115" s="63">
        <f t="shared" si="2"/>
        <v>-1.3354892801533125E-2</v>
      </c>
      <c r="F115" s="60">
        <v>45887</v>
      </c>
      <c r="G115" s="62">
        <v>24876.95</v>
      </c>
      <c r="H115" s="63">
        <f t="shared" si="3"/>
        <v>-4.1512130388920987E-3</v>
      </c>
    </row>
    <row r="116" spans="2:8" x14ac:dyDescent="0.3">
      <c r="B116" s="60">
        <v>45883</v>
      </c>
      <c r="C116" s="62">
        <v>1660.9</v>
      </c>
      <c r="D116" s="63">
        <f t="shared" si="2"/>
        <v>8.1335356600911179E-3</v>
      </c>
      <c r="F116" s="60">
        <v>45883</v>
      </c>
      <c r="G116" s="62">
        <v>24631.3</v>
      </c>
      <c r="H116" s="63">
        <f t="shared" si="3"/>
        <v>-9.8746027949568882E-3</v>
      </c>
    </row>
    <row r="117" spans="2:8" x14ac:dyDescent="0.3">
      <c r="B117" s="60">
        <v>45882</v>
      </c>
      <c r="C117" s="62">
        <v>1671.4</v>
      </c>
      <c r="D117" s="63">
        <f t="shared" si="2"/>
        <v>6.3218736829429023E-3</v>
      </c>
      <c r="F117" s="60">
        <v>45882</v>
      </c>
      <c r="G117" s="62">
        <v>24619.35</v>
      </c>
      <c r="H117" s="63">
        <f t="shared" si="3"/>
        <v>-4.8515506692703436E-4</v>
      </c>
    </row>
    <row r="118" spans="2:8" x14ac:dyDescent="0.3">
      <c r="B118" s="60">
        <v>45881</v>
      </c>
      <c r="C118" s="62">
        <v>1666</v>
      </c>
      <c r="D118" s="63">
        <f t="shared" si="2"/>
        <v>-3.2308244585378398E-3</v>
      </c>
      <c r="F118" s="60">
        <v>45881</v>
      </c>
      <c r="G118" s="62">
        <v>24487.4</v>
      </c>
      <c r="H118" s="63">
        <f t="shared" si="3"/>
        <v>-5.3596053510753805E-3</v>
      </c>
    </row>
    <row r="119" spans="2:8" x14ac:dyDescent="0.3">
      <c r="B119" s="60">
        <v>45880</v>
      </c>
      <c r="C119" s="62">
        <v>1700</v>
      </c>
      <c r="D119" s="63">
        <f t="shared" si="2"/>
        <v>2.0408163265306145E-2</v>
      </c>
      <c r="F119" s="60">
        <v>45880</v>
      </c>
      <c r="G119" s="62">
        <v>24585.05</v>
      </c>
      <c r="H119" s="63">
        <f t="shared" si="3"/>
        <v>3.987765136355792E-3</v>
      </c>
    </row>
    <row r="120" spans="2:8" x14ac:dyDescent="0.3">
      <c r="B120" s="60">
        <v>45877</v>
      </c>
      <c r="C120" s="62">
        <v>1684.2</v>
      </c>
      <c r="D120" s="63">
        <f t="shared" si="2"/>
        <v>-9.2941176470587861E-3</v>
      </c>
      <c r="F120" s="60">
        <v>45877</v>
      </c>
      <c r="G120" s="62">
        <v>24363.3</v>
      </c>
      <c r="H120" s="63">
        <f t="shared" si="3"/>
        <v>-9.0197091321758682E-3</v>
      </c>
    </row>
    <row r="121" spans="2:8" x14ac:dyDescent="0.3">
      <c r="B121" s="60">
        <v>45876</v>
      </c>
      <c r="C121" s="62">
        <v>1733.1</v>
      </c>
      <c r="D121" s="63">
        <f t="shared" si="2"/>
        <v>2.9034556465977746E-2</v>
      </c>
      <c r="F121" s="60">
        <v>45876</v>
      </c>
      <c r="G121" s="62">
        <v>24596.15</v>
      </c>
      <c r="H121" s="63">
        <f t="shared" si="3"/>
        <v>9.5574080686935403E-3</v>
      </c>
    </row>
    <row r="122" spans="2:8" x14ac:dyDescent="0.3">
      <c r="B122" s="60">
        <v>45875</v>
      </c>
      <c r="C122" s="62">
        <v>1787.2</v>
      </c>
      <c r="D122" s="63">
        <f t="shared" si="2"/>
        <v>3.1215740580462725E-2</v>
      </c>
      <c r="F122" s="60">
        <v>45875</v>
      </c>
      <c r="G122" s="62">
        <v>24574.2</v>
      </c>
      <c r="H122" s="63">
        <f t="shared" si="3"/>
        <v>-8.9241608950996199E-4</v>
      </c>
    </row>
    <row r="123" spans="2:8" x14ac:dyDescent="0.3">
      <c r="B123" s="60">
        <v>45874</v>
      </c>
      <c r="C123" s="62">
        <v>1808.9</v>
      </c>
      <c r="D123" s="63">
        <f t="shared" si="2"/>
        <v>1.2141897940913138E-2</v>
      </c>
      <c r="F123" s="60">
        <v>45874</v>
      </c>
      <c r="G123" s="62">
        <v>24649.55</v>
      </c>
      <c r="H123" s="63">
        <f t="shared" si="3"/>
        <v>3.0662239259060531E-3</v>
      </c>
    </row>
    <row r="124" spans="2:8" x14ac:dyDescent="0.3">
      <c r="B124" s="60">
        <v>45873</v>
      </c>
      <c r="C124" s="62">
        <v>1830.4</v>
      </c>
      <c r="D124" s="63">
        <f t="shared" si="2"/>
        <v>1.188567637790916E-2</v>
      </c>
      <c r="F124" s="60">
        <v>45873</v>
      </c>
      <c r="G124" s="62">
        <v>24722.75</v>
      </c>
      <c r="H124" s="63">
        <f t="shared" si="3"/>
        <v>2.9696282487916559E-3</v>
      </c>
    </row>
    <row r="125" spans="2:8" x14ac:dyDescent="0.3">
      <c r="B125" s="60">
        <v>45870</v>
      </c>
      <c r="C125" s="62">
        <v>1783.4</v>
      </c>
      <c r="D125" s="63">
        <f t="shared" si="2"/>
        <v>-2.5677447552447497E-2</v>
      </c>
      <c r="F125" s="60">
        <v>45870</v>
      </c>
      <c r="G125" s="62">
        <v>24565.35</v>
      </c>
      <c r="H125" s="63">
        <f t="shared" si="3"/>
        <v>-6.366605656733193E-3</v>
      </c>
    </row>
    <row r="126" spans="2:8" x14ac:dyDescent="0.3">
      <c r="B126" s="60">
        <v>45869</v>
      </c>
      <c r="C126" s="62">
        <v>1747.7</v>
      </c>
      <c r="D126" s="63">
        <f t="shared" si="2"/>
        <v>-2.0017943254457826E-2</v>
      </c>
      <c r="F126" s="60">
        <v>45869</v>
      </c>
      <c r="G126" s="62">
        <v>24768.35</v>
      </c>
      <c r="H126" s="63">
        <f t="shared" si="3"/>
        <v>8.2636722049553857E-3</v>
      </c>
    </row>
    <row r="127" spans="2:8" x14ac:dyDescent="0.3">
      <c r="B127" s="60">
        <v>45868</v>
      </c>
      <c r="C127" s="62">
        <v>1771.1</v>
      </c>
      <c r="D127" s="63">
        <f t="shared" si="2"/>
        <v>1.3389025576471925E-2</v>
      </c>
      <c r="F127" s="60">
        <v>45868</v>
      </c>
      <c r="G127" s="62">
        <v>24855.05</v>
      </c>
      <c r="H127" s="63">
        <f t="shared" si="3"/>
        <v>3.5004350309972843E-3</v>
      </c>
    </row>
    <row r="128" spans="2:8" x14ac:dyDescent="0.3">
      <c r="B128" s="60">
        <v>45867</v>
      </c>
      <c r="C128" s="62">
        <v>1787.1</v>
      </c>
      <c r="D128" s="63">
        <f t="shared" si="2"/>
        <v>9.0339337135114661E-3</v>
      </c>
      <c r="F128" s="60">
        <v>45867</v>
      </c>
      <c r="G128" s="62">
        <v>24821.1</v>
      </c>
      <c r="H128" s="63">
        <f t="shared" si="3"/>
        <v>-1.3659196018516173E-3</v>
      </c>
    </row>
    <row r="129" spans="2:8" x14ac:dyDescent="0.3">
      <c r="B129" s="60">
        <v>45866</v>
      </c>
      <c r="C129" s="62">
        <v>1866.4</v>
      </c>
      <c r="D129" s="63">
        <f t="shared" si="2"/>
        <v>4.4373566112696716E-2</v>
      </c>
      <c r="F129" s="60">
        <v>45866</v>
      </c>
      <c r="G129" s="62">
        <v>24680.9</v>
      </c>
      <c r="H129" s="63">
        <f t="shared" si="3"/>
        <v>-5.6484200941939733E-3</v>
      </c>
    </row>
    <row r="130" spans="2:8" x14ac:dyDescent="0.3">
      <c r="B130" s="60">
        <v>45863</v>
      </c>
      <c r="C130" s="62">
        <v>1881</v>
      </c>
      <c r="D130" s="63">
        <f t="shared" si="2"/>
        <v>7.8225460780110279E-3</v>
      </c>
      <c r="F130" s="60">
        <v>45863</v>
      </c>
      <c r="G130" s="62">
        <v>24837</v>
      </c>
      <c r="H130" s="63">
        <f t="shared" si="3"/>
        <v>6.3247288388996736E-3</v>
      </c>
    </row>
    <row r="131" spans="2:8" x14ac:dyDescent="0.3">
      <c r="B131" s="60">
        <v>45862</v>
      </c>
      <c r="C131" s="62">
        <v>1880.4</v>
      </c>
      <c r="D131" s="63">
        <f t="shared" si="2"/>
        <v>-3.1897926634760765E-4</v>
      </c>
      <c r="F131" s="60">
        <v>45862</v>
      </c>
      <c r="G131" s="62">
        <v>25062.1</v>
      </c>
      <c r="H131" s="63">
        <f t="shared" si="3"/>
        <v>9.0630913556386528E-3</v>
      </c>
    </row>
    <row r="132" spans="2:8" x14ac:dyDescent="0.3">
      <c r="B132" s="60">
        <v>45861</v>
      </c>
      <c r="C132" s="62">
        <v>1855.6</v>
      </c>
      <c r="D132" s="63">
        <f t="shared" si="2"/>
        <v>-1.3188683258881229E-2</v>
      </c>
      <c r="F132" s="60">
        <v>45861</v>
      </c>
      <c r="G132" s="62">
        <v>25219.9</v>
      </c>
      <c r="H132" s="63">
        <f t="shared" si="3"/>
        <v>6.2963598421521549E-3</v>
      </c>
    </row>
    <row r="133" spans="2:8" x14ac:dyDescent="0.3">
      <c r="B133" s="60">
        <v>45860</v>
      </c>
      <c r="C133" s="62">
        <v>1745.2</v>
      </c>
      <c r="D133" s="63">
        <f t="shared" si="2"/>
        <v>-5.9495580944168958E-2</v>
      </c>
      <c r="F133" s="60">
        <v>45860</v>
      </c>
      <c r="G133" s="62">
        <v>25060.9</v>
      </c>
      <c r="H133" s="63">
        <f t="shared" si="3"/>
        <v>-6.3045452202427077E-3</v>
      </c>
    </row>
    <row r="134" spans="2:8" x14ac:dyDescent="0.3">
      <c r="B134" s="60">
        <v>45859</v>
      </c>
      <c r="C134" s="62">
        <v>1750.2</v>
      </c>
      <c r="D134" s="63">
        <f t="shared" si="2"/>
        <v>2.8650011460005231E-3</v>
      </c>
      <c r="F134" s="60">
        <v>45859</v>
      </c>
      <c r="G134" s="62">
        <v>25090.7</v>
      </c>
      <c r="H134" s="63">
        <f t="shared" si="3"/>
        <v>1.1891033442532617E-3</v>
      </c>
    </row>
    <row r="135" spans="2:8" x14ac:dyDescent="0.3">
      <c r="B135" s="60">
        <v>45856</v>
      </c>
      <c r="C135" s="62">
        <v>1740.5</v>
      </c>
      <c r="D135" s="63">
        <f t="shared" si="2"/>
        <v>-5.5422237458576662E-3</v>
      </c>
      <c r="F135" s="60">
        <v>45856</v>
      </c>
      <c r="G135" s="62">
        <v>24968.400000000001</v>
      </c>
      <c r="H135" s="63">
        <f t="shared" si="3"/>
        <v>-4.8743159816186932E-3</v>
      </c>
    </row>
    <row r="136" spans="2:8" x14ac:dyDescent="0.3">
      <c r="B136" s="60">
        <v>45855</v>
      </c>
      <c r="C136" s="62">
        <v>1727</v>
      </c>
      <c r="D136" s="63">
        <f t="shared" si="2"/>
        <v>-7.7563918414248478E-3</v>
      </c>
      <c r="F136" s="60">
        <v>45855</v>
      </c>
      <c r="G136" s="62">
        <v>25111.45</v>
      </c>
      <c r="H136" s="63">
        <f t="shared" si="3"/>
        <v>5.7292417615866231E-3</v>
      </c>
    </row>
    <row r="137" spans="2:8" x14ac:dyDescent="0.3">
      <c r="B137" s="60">
        <v>45854</v>
      </c>
      <c r="C137" s="62">
        <v>1712.8</v>
      </c>
      <c r="D137" s="63">
        <f t="shared" ref="D137:D200" si="4">C137/C136-1</f>
        <v>-8.2223508975101112E-3</v>
      </c>
      <c r="F137" s="60">
        <v>45854</v>
      </c>
      <c r="G137" s="62">
        <v>25212.05</v>
      </c>
      <c r="H137" s="63">
        <f t="shared" ref="H137:H200" si="5">G137/G136-1</f>
        <v>4.0061406250933018E-3</v>
      </c>
    </row>
    <row r="138" spans="2:8" x14ac:dyDescent="0.3">
      <c r="B138" s="60">
        <v>45853</v>
      </c>
      <c r="C138" s="62">
        <v>1703</v>
      </c>
      <c r="D138" s="63">
        <f t="shared" si="4"/>
        <v>-5.7216254086874807E-3</v>
      </c>
      <c r="F138" s="60">
        <v>45853</v>
      </c>
      <c r="G138" s="62">
        <v>25195.8</v>
      </c>
      <c r="H138" s="63">
        <f t="shared" si="5"/>
        <v>-6.4453307049605613E-4</v>
      </c>
    </row>
    <row r="139" spans="2:8" x14ac:dyDescent="0.3">
      <c r="B139" s="60">
        <v>45852</v>
      </c>
      <c r="C139" s="62">
        <v>1684.4</v>
      </c>
      <c r="D139" s="63">
        <f t="shared" si="4"/>
        <v>-1.0921902524955951E-2</v>
      </c>
      <c r="F139" s="60">
        <v>45852</v>
      </c>
      <c r="G139" s="62">
        <v>25082.3</v>
      </c>
      <c r="H139" s="63">
        <f t="shared" si="5"/>
        <v>-4.5047190404750026E-3</v>
      </c>
    </row>
    <row r="140" spans="2:8" x14ac:dyDescent="0.3">
      <c r="B140" s="60">
        <v>45849</v>
      </c>
      <c r="C140" s="62">
        <v>1656.5</v>
      </c>
      <c r="D140" s="63">
        <f t="shared" si="4"/>
        <v>-1.6563761576822711E-2</v>
      </c>
      <c r="F140" s="60">
        <v>45849</v>
      </c>
      <c r="G140" s="62">
        <v>25149.85</v>
      </c>
      <c r="H140" s="63">
        <f t="shared" si="5"/>
        <v>2.6931342022062932E-3</v>
      </c>
    </row>
    <row r="141" spans="2:8" x14ac:dyDescent="0.3">
      <c r="B141" s="60">
        <v>45848</v>
      </c>
      <c r="C141" s="62">
        <v>1639.4</v>
      </c>
      <c r="D141" s="63">
        <f t="shared" si="4"/>
        <v>-1.0322970117717989E-2</v>
      </c>
      <c r="F141" s="60">
        <v>45848</v>
      </c>
      <c r="G141" s="62">
        <v>25355.25</v>
      </c>
      <c r="H141" s="63">
        <f t="shared" si="5"/>
        <v>8.1670467219487897E-3</v>
      </c>
    </row>
    <row r="142" spans="2:8" x14ac:dyDescent="0.3">
      <c r="B142" s="60">
        <v>45847</v>
      </c>
      <c r="C142" s="62">
        <v>1627.5</v>
      </c>
      <c r="D142" s="63">
        <f t="shared" si="4"/>
        <v>-7.2587532023912216E-3</v>
      </c>
      <c r="F142" s="60">
        <v>45847</v>
      </c>
      <c r="G142" s="62">
        <v>25476.1</v>
      </c>
      <c r="H142" s="63">
        <f t="shared" si="5"/>
        <v>4.7662712850395916E-3</v>
      </c>
    </row>
    <row r="143" spans="2:8" x14ac:dyDescent="0.3">
      <c r="B143" s="60">
        <v>45846</v>
      </c>
      <c r="C143" s="62">
        <v>1631.7</v>
      </c>
      <c r="D143" s="63">
        <f t="shared" si="4"/>
        <v>2.580645161290418E-3</v>
      </c>
      <c r="F143" s="60">
        <v>45846</v>
      </c>
      <c r="G143" s="62">
        <v>25522.5</v>
      </c>
      <c r="H143" s="63">
        <f t="shared" si="5"/>
        <v>1.8213148794361533E-3</v>
      </c>
    </row>
    <row r="144" spans="2:8" x14ac:dyDescent="0.3">
      <c r="B144" s="60">
        <v>45845</v>
      </c>
      <c r="C144" s="62">
        <v>1612.5</v>
      </c>
      <c r="D144" s="63">
        <f t="shared" si="4"/>
        <v>-1.1766868909726114E-2</v>
      </c>
      <c r="F144" s="60">
        <v>45845</v>
      </c>
      <c r="G144" s="62">
        <v>25461.3</v>
      </c>
      <c r="H144" s="63">
        <f t="shared" si="5"/>
        <v>-2.3978842198061345E-3</v>
      </c>
    </row>
    <row r="145" spans="2:8" x14ac:dyDescent="0.3">
      <c r="B145" s="60">
        <v>45842</v>
      </c>
      <c r="C145" s="62">
        <v>1619.2</v>
      </c>
      <c r="D145" s="63">
        <f t="shared" si="4"/>
        <v>4.1550387596900329E-3</v>
      </c>
      <c r="F145" s="60">
        <v>45842</v>
      </c>
      <c r="G145" s="62">
        <v>25461</v>
      </c>
      <c r="H145" s="63">
        <f t="shared" si="5"/>
        <v>-1.1782587691855362E-5</v>
      </c>
    </row>
    <row r="146" spans="2:8" x14ac:dyDescent="0.3">
      <c r="B146" s="60">
        <v>45841</v>
      </c>
      <c r="C146" s="62">
        <v>1616.9</v>
      </c>
      <c r="D146" s="63">
        <f t="shared" si="4"/>
        <v>-1.4204545454544748E-3</v>
      </c>
      <c r="F146" s="60">
        <v>45841</v>
      </c>
      <c r="G146" s="62">
        <v>25405.3</v>
      </c>
      <c r="H146" s="63">
        <f t="shared" si="5"/>
        <v>-2.1876595577550173E-3</v>
      </c>
    </row>
    <row r="147" spans="2:8" x14ac:dyDescent="0.3">
      <c r="B147" s="60">
        <v>45840</v>
      </c>
      <c r="C147" s="62">
        <v>1612.3</v>
      </c>
      <c r="D147" s="63">
        <f t="shared" si="4"/>
        <v>-2.8449502133713889E-3</v>
      </c>
      <c r="F147" s="60">
        <v>45840</v>
      </c>
      <c r="G147" s="62">
        <v>25453.4</v>
      </c>
      <c r="H147" s="63">
        <f t="shared" si="5"/>
        <v>1.8933057275452025E-3</v>
      </c>
    </row>
    <row r="148" spans="2:8" x14ac:dyDescent="0.3">
      <c r="B148" s="60">
        <v>45839</v>
      </c>
      <c r="C148" s="62">
        <v>1617.1</v>
      </c>
      <c r="D148" s="63">
        <f t="shared" si="4"/>
        <v>2.9771134404266153E-3</v>
      </c>
      <c r="F148" s="60">
        <v>45839</v>
      </c>
      <c r="G148" s="62">
        <v>25541.8</v>
      </c>
      <c r="H148" s="63">
        <f t="shared" si="5"/>
        <v>3.4730134284612912E-3</v>
      </c>
    </row>
    <row r="149" spans="2:8" x14ac:dyDescent="0.3">
      <c r="B149" s="60">
        <v>45838</v>
      </c>
      <c r="C149" s="62">
        <v>1638.5</v>
      </c>
      <c r="D149" s="63">
        <f t="shared" si="4"/>
        <v>1.3233566260590024E-2</v>
      </c>
      <c r="F149" s="60">
        <v>45838</v>
      </c>
      <c r="G149" s="62">
        <v>25517.05</v>
      </c>
      <c r="H149" s="63">
        <f t="shared" si="5"/>
        <v>-9.6899983556364422E-4</v>
      </c>
    </row>
    <row r="150" spans="2:8" x14ac:dyDescent="0.3">
      <c r="B150" s="60">
        <v>45835</v>
      </c>
      <c r="C150" s="62">
        <v>1650.6</v>
      </c>
      <c r="D150" s="63">
        <f t="shared" si="4"/>
        <v>7.3848031736343245E-3</v>
      </c>
      <c r="F150" s="60">
        <v>45835</v>
      </c>
      <c r="G150" s="62">
        <v>25637.8</v>
      </c>
      <c r="H150" s="63">
        <f t="shared" si="5"/>
        <v>4.7321300855702741E-3</v>
      </c>
    </row>
    <row r="151" spans="2:8" x14ac:dyDescent="0.3">
      <c r="B151" s="60">
        <v>45834</v>
      </c>
      <c r="C151" s="62">
        <v>1621.8</v>
      </c>
      <c r="D151" s="63">
        <f t="shared" si="4"/>
        <v>-1.7448200654307522E-2</v>
      </c>
      <c r="F151" s="60">
        <v>45834</v>
      </c>
      <c r="G151" s="62">
        <v>25549</v>
      </c>
      <c r="H151" s="63">
        <f t="shared" si="5"/>
        <v>-3.4636357253742256E-3</v>
      </c>
    </row>
    <row r="152" spans="2:8" x14ac:dyDescent="0.3">
      <c r="B152" s="60">
        <v>45833</v>
      </c>
      <c r="C152" s="62">
        <v>1628.3</v>
      </c>
      <c r="D152" s="63">
        <f t="shared" si="4"/>
        <v>4.0078924651620884E-3</v>
      </c>
      <c r="F152" s="60">
        <v>45833</v>
      </c>
      <c r="G152" s="62">
        <v>25244.75</v>
      </c>
      <c r="H152" s="63">
        <f t="shared" si="5"/>
        <v>-1.1908489569063319E-2</v>
      </c>
    </row>
    <row r="153" spans="2:8" x14ac:dyDescent="0.3">
      <c r="B153" s="60">
        <v>45832</v>
      </c>
      <c r="C153" s="62">
        <v>1600.1</v>
      </c>
      <c r="D153" s="63">
        <f t="shared" si="4"/>
        <v>-1.7318675919670845E-2</v>
      </c>
      <c r="F153" s="60">
        <v>45832</v>
      </c>
      <c r="G153" s="62">
        <v>25044.35</v>
      </c>
      <c r="H153" s="63">
        <f t="shared" si="5"/>
        <v>-7.9382841977044816E-3</v>
      </c>
    </row>
    <row r="154" spans="2:8" x14ac:dyDescent="0.3">
      <c r="B154" s="60">
        <v>45831</v>
      </c>
      <c r="C154" s="62">
        <v>1609</v>
      </c>
      <c r="D154" s="63">
        <f t="shared" si="4"/>
        <v>5.5621523654771909E-3</v>
      </c>
      <c r="F154" s="60">
        <v>45831</v>
      </c>
      <c r="G154" s="62">
        <v>24971.9</v>
      </c>
      <c r="H154" s="63">
        <f t="shared" si="5"/>
        <v>-2.8928680520754479E-3</v>
      </c>
    </row>
    <row r="155" spans="2:8" x14ac:dyDescent="0.3">
      <c r="B155" s="60">
        <v>45828</v>
      </c>
      <c r="C155" s="62">
        <v>1646.1</v>
      </c>
      <c r="D155" s="63">
        <f t="shared" si="4"/>
        <v>2.3057799875699114E-2</v>
      </c>
      <c r="F155" s="60">
        <v>45828</v>
      </c>
      <c r="G155" s="62">
        <v>25112.400000000001</v>
      </c>
      <c r="H155" s="63">
        <f t="shared" si="5"/>
        <v>5.6263239881626514E-3</v>
      </c>
    </row>
    <row r="156" spans="2:8" x14ac:dyDescent="0.3">
      <c r="B156" s="60">
        <v>45827</v>
      </c>
      <c r="C156" s="62">
        <v>1669.6</v>
      </c>
      <c r="D156" s="63">
        <f t="shared" si="4"/>
        <v>1.4276167912034454E-2</v>
      </c>
      <c r="F156" s="60">
        <v>45827</v>
      </c>
      <c r="G156" s="62">
        <v>24793.25</v>
      </c>
      <c r="H156" s="63">
        <f t="shared" si="5"/>
        <v>-1.2708860961118895E-2</v>
      </c>
    </row>
    <row r="157" spans="2:8" x14ac:dyDescent="0.3">
      <c r="B157" s="60">
        <v>45826</v>
      </c>
      <c r="C157" s="62">
        <v>1661.6</v>
      </c>
      <c r="D157" s="63">
        <f t="shared" si="4"/>
        <v>-4.7915668423574864E-3</v>
      </c>
      <c r="F157" s="60">
        <v>45826</v>
      </c>
      <c r="G157" s="62">
        <v>24812.05</v>
      </c>
      <c r="H157" s="63">
        <f t="shared" si="5"/>
        <v>7.5827090034574773E-4</v>
      </c>
    </row>
    <row r="158" spans="2:8" x14ac:dyDescent="0.3">
      <c r="B158" s="60">
        <v>45825</v>
      </c>
      <c r="C158" s="62">
        <v>1637.3</v>
      </c>
      <c r="D158" s="63">
        <f t="shared" si="4"/>
        <v>-1.4624458353394321E-2</v>
      </c>
      <c r="F158" s="60">
        <v>45825</v>
      </c>
      <c r="G158" s="62">
        <v>24853.4</v>
      </c>
      <c r="H158" s="63">
        <f t="shared" si="5"/>
        <v>1.6665289647570525E-3</v>
      </c>
    </row>
    <row r="159" spans="2:8" x14ac:dyDescent="0.3">
      <c r="B159" s="60">
        <v>45824</v>
      </c>
      <c r="C159" s="62">
        <v>1695.6</v>
      </c>
      <c r="D159" s="63">
        <f t="shared" si="4"/>
        <v>3.560740243083127E-2</v>
      </c>
      <c r="F159" s="60">
        <v>45824</v>
      </c>
      <c r="G159" s="62">
        <v>24946.5</v>
      </c>
      <c r="H159" s="63">
        <f t="shared" si="5"/>
        <v>3.7459663466568038E-3</v>
      </c>
    </row>
    <row r="160" spans="2:8" x14ac:dyDescent="0.3">
      <c r="B160" s="60">
        <v>45821</v>
      </c>
      <c r="C160" s="62">
        <v>1721.2</v>
      </c>
      <c r="D160" s="63">
        <f t="shared" si="4"/>
        <v>1.5097900448219015E-2</v>
      </c>
      <c r="F160" s="60">
        <v>45821</v>
      </c>
      <c r="G160" s="62">
        <v>24718.6</v>
      </c>
      <c r="H160" s="63">
        <f t="shared" si="5"/>
        <v>-9.1355500771651554E-3</v>
      </c>
    </row>
    <row r="161" spans="2:8" x14ac:dyDescent="0.3">
      <c r="B161" s="60">
        <v>45820</v>
      </c>
      <c r="C161" s="62">
        <v>1731.8</v>
      </c>
      <c r="D161" s="63">
        <f t="shared" si="4"/>
        <v>6.158494073901899E-3</v>
      </c>
      <c r="F161" s="60">
        <v>45820</v>
      </c>
      <c r="G161" s="62">
        <v>24888.2</v>
      </c>
      <c r="H161" s="63">
        <f t="shared" si="5"/>
        <v>6.8612300049355479E-3</v>
      </c>
    </row>
    <row r="162" spans="2:8" x14ac:dyDescent="0.3">
      <c r="B162" s="60">
        <v>45819</v>
      </c>
      <c r="C162" s="62">
        <v>1748.2</v>
      </c>
      <c r="D162" s="63">
        <f t="shared" si="4"/>
        <v>9.4699156946529417E-3</v>
      </c>
      <c r="F162" s="60">
        <v>45819</v>
      </c>
      <c r="G162" s="62">
        <v>25141.4</v>
      </c>
      <c r="H162" s="63">
        <f t="shared" si="5"/>
        <v>1.0173495873546434E-2</v>
      </c>
    </row>
    <row r="163" spans="2:8" x14ac:dyDescent="0.3">
      <c r="B163" s="60">
        <v>45818</v>
      </c>
      <c r="C163" s="62">
        <v>1741.9</v>
      </c>
      <c r="D163" s="63">
        <f t="shared" si="4"/>
        <v>-3.6037066697174325E-3</v>
      </c>
      <c r="F163" s="60">
        <v>45818</v>
      </c>
      <c r="G163" s="62">
        <v>25104.25</v>
      </c>
      <c r="H163" s="63">
        <f t="shared" si="5"/>
        <v>-1.477642454278616E-3</v>
      </c>
    </row>
    <row r="164" spans="2:8" x14ac:dyDescent="0.3">
      <c r="B164" s="60">
        <v>45817</v>
      </c>
      <c r="C164" s="62">
        <v>1713.2</v>
      </c>
      <c r="D164" s="63">
        <f t="shared" si="4"/>
        <v>-1.6476261553476146E-2</v>
      </c>
      <c r="F164" s="60">
        <v>45817</v>
      </c>
      <c r="G164" s="62">
        <v>25103.200000000001</v>
      </c>
      <c r="H164" s="63">
        <f t="shared" si="5"/>
        <v>-4.1825587300925449E-5</v>
      </c>
    </row>
    <row r="165" spans="2:8" x14ac:dyDescent="0.3">
      <c r="B165" s="60">
        <v>45814</v>
      </c>
      <c r="C165" s="62">
        <v>1692.7</v>
      </c>
      <c r="D165" s="63">
        <f t="shared" si="4"/>
        <v>-1.1965911744104551E-2</v>
      </c>
      <c r="F165" s="60">
        <v>45814</v>
      </c>
      <c r="G165" s="62">
        <v>25003.05</v>
      </c>
      <c r="H165" s="63">
        <f t="shared" si="5"/>
        <v>-3.9895312151438933E-3</v>
      </c>
    </row>
    <row r="166" spans="2:8" x14ac:dyDescent="0.3">
      <c r="B166" s="60">
        <v>45813</v>
      </c>
      <c r="C166" s="62">
        <v>1680.7</v>
      </c>
      <c r="D166" s="63">
        <f t="shared" si="4"/>
        <v>-7.0892656702309376E-3</v>
      </c>
      <c r="F166" s="60">
        <v>45813</v>
      </c>
      <c r="G166" s="62">
        <v>24750.9</v>
      </c>
      <c r="H166" s="63">
        <f t="shared" si="5"/>
        <v>-1.0084769658101678E-2</v>
      </c>
    </row>
    <row r="167" spans="2:8" x14ac:dyDescent="0.3">
      <c r="B167" s="60">
        <v>45812</v>
      </c>
      <c r="C167" s="62">
        <v>1702.8</v>
      </c>
      <c r="D167" s="63">
        <f t="shared" si="4"/>
        <v>1.3149283036829829E-2</v>
      </c>
      <c r="F167" s="60">
        <v>45812</v>
      </c>
      <c r="G167" s="62">
        <v>24620.2</v>
      </c>
      <c r="H167" s="63">
        <f t="shared" si="5"/>
        <v>-5.280616058406018E-3</v>
      </c>
    </row>
    <row r="168" spans="2:8" x14ac:dyDescent="0.3">
      <c r="B168" s="60">
        <v>45811</v>
      </c>
      <c r="C168" s="62">
        <v>1700.2</v>
      </c>
      <c r="D168" s="63">
        <f t="shared" si="4"/>
        <v>-1.5268968757340406E-3</v>
      </c>
      <c r="F168" s="60">
        <v>45811</v>
      </c>
      <c r="G168" s="62">
        <v>24542.5</v>
      </c>
      <c r="H168" s="63">
        <f t="shared" si="5"/>
        <v>-3.1559451182362475E-3</v>
      </c>
    </row>
    <row r="169" spans="2:8" x14ac:dyDescent="0.3">
      <c r="B169" s="60">
        <v>45810</v>
      </c>
      <c r="C169" s="62">
        <v>1649.4</v>
      </c>
      <c r="D169" s="63">
        <f t="shared" si="4"/>
        <v>-2.987883778379008E-2</v>
      </c>
      <c r="F169" s="60">
        <v>45810</v>
      </c>
      <c r="G169" s="62">
        <v>24716.6</v>
      </c>
      <c r="H169" s="63">
        <f t="shared" si="5"/>
        <v>7.0938168483243302E-3</v>
      </c>
    </row>
    <row r="170" spans="2:8" x14ac:dyDescent="0.3">
      <c r="B170" s="60">
        <v>45807</v>
      </c>
      <c r="C170" s="62">
        <v>1638.6</v>
      </c>
      <c r="D170" s="63">
        <f t="shared" si="4"/>
        <v>-6.5478355765734575E-3</v>
      </c>
      <c r="F170" s="60">
        <v>45807</v>
      </c>
      <c r="G170" s="62">
        <v>24750.7</v>
      </c>
      <c r="H170" s="63">
        <f t="shared" si="5"/>
        <v>1.3796395944427609E-3</v>
      </c>
    </row>
    <row r="171" spans="2:8" x14ac:dyDescent="0.3">
      <c r="B171" s="60">
        <v>45806</v>
      </c>
      <c r="C171" s="62">
        <v>1636.2</v>
      </c>
      <c r="D171" s="63">
        <f t="shared" si="4"/>
        <v>-1.4646649578907711E-3</v>
      </c>
      <c r="F171" s="60">
        <v>45806</v>
      </c>
      <c r="G171" s="62">
        <v>24833.599999999999</v>
      </c>
      <c r="H171" s="63">
        <f t="shared" si="5"/>
        <v>3.3494002189835559E-3</v>
      </c>
    </row>
    <row r="172" spans="2:8" x14ac:dyDescent="0.3">
      <c r="B172" s="60">
        <v>45805</v>
      </c>
      <c r="C172" s="62">
        <v>1705.8</v>
      </c>
      <c r="D172" s="63">
        <f t="shared" si="4"/>
        <v>4.2537587092042584E-2</v>
      </c>
      <c r="F172" s="60">
        <v>45805</v>
      </c>
      <c r="G172" s="62">
        <v>24752.45</v>
      </c>
      <c r="H172" s="63">
        <f t="shared" si="5"/>
        <v>-3.2677501449648316E-3</v>
      </c>
    </row>
    <row r="173" spans="2:8" x14ac:dyDescent="0.3">
      <c r="B173" s="60">
        <v>45804</v>
      </c>
      <c r="C173" s="62">
        <v>1837.5</v>
      </c>
      <c r="D173" s="63">
        <f t="shared" si="4"/>
        <v>7.7207175518818172E-2</v>
      </c>
      <c r="F173" s="60">
        <v>45804</v>
      </c>
      <c r="G173" s="62">
        <v>24826.2</v>
      </c>
      <c r="H173" s="63">
        <f t="shared" si="5"/>
        <v>2.9795030390931121E-3</v>
      </c>
    </row>
    <row r="174" spans="2:8" x14ac:dyDescent="0.3">
      <c r="B174" s="60">
        <v>45803</v>
      </c>
      <c r="C174" s="62">
        <v>1770.9</v>
      </c>
      <c r="D174" s="63">
        <f t="shared" si="4"/>
        <v>-3.624489795918362E-2</v>
      </c>
      <c r="F174" s="60">
        <v>45803</v>
      </c>
      <c r="G174" s="62">
        <v>25001.15</v>
      </c>
      <c r="H174" s="63">
        <f t="shared" si="5"/>
        <v>7.0469906792018921E-3</v>
      </c>
    </row>
    <row r="175" spans="2:8" x14ac:dyDescent="0.3">
      <c r="B175" s="60">
        <v>45800</v>
      </c>
      <c r="C175" s="62">
        <v>1834.6</v>
      </c>
      <c r="D175" s="63">
        <f t="shared" si="4"/>
        <v>3.5970410525721253E-2</v>
      </c>
      <c r="F175" s="60">
        <v>45800</v>
      </c>
      <c r="G175" s="62">
        <v>24853.15</v>
      </c>
      <c r="H175" s="63">
        <f t="shared" si="5"/>
        <v>-5.9197276925261333E-3</v>
      </c>
    </row>
    <row r="176" spans="2:8" x14ac:dyDescent="0.3">
      <c r="B176" s="60">
        <v>45799</v>
      </c>
      <c r="C176" s="62">
        <v>1777.2</v>
      </c>
      <c r="D176" s="63">
        <f t="shared" si="4"/>
        <v>-3.1287474108797508E-2</v>
      </c>
      <c r="F176" s="60">
        <v>45799</v>
      </c>
      <c r="G176" s="62">
        <v>24609.7</v>
      </c>
      <c r="H176" s="63">
        <f t="shared" si="5"/>
        <v>-9.7955389960628914E-3</v>
      </c>
    </row>
    <row r="177" spans="2:8" x14ac:dyDescent="0.3">
      <c r="B177" s="60">
        <v>45798</v>
      </c>
      <c r="C177" s="62">
        <v>1790.8</v>
      </c>
      <c r="D177" s="63">
        <f t="shared" si="4"/>
        <v>7.6524870582939108E-3</v>
      </c>
      <c r="F177" s="60">
        <v>45798</v>
      </c>
      <c r="G177" s="62">
        <v>24813.45</v>
      </c>
      <c r="H177" s="63">
        <f t="shared" si="5"/>
        <v>8.2792557406226042E-3</v>
      </c>
    </row>
    <row r="178" spans="2:8" x14ac:dyDescent="0.3">
      <c r="B178" s="60">
        <v>45797</v>
      </c>
      <c r="C178" s="62">
        <v>1772.4</v>
      </c>
      <c r="D178" s="63">
        <f t="shared" si="4"/>
        <v>-1.0274737547464774E-2</v>
      </c>
      <c r="F178" s="60">
        <v>45797</v>
      </c>
      <c r="G178" s="62">
        <v>24683.9</v>
      </c>
      <c r="H178" s="63">
        <f t="shared" si="5"/>
        <v>-5.220958794524666E-3</v>
      </c>
    </row>
    <row r="179" spans="2:8" x14ac:dyDescent="0.3">
      <c r="B179" s="60">
        <v>45796</v>
      </c>
      <c r="C179" s="62">
        <v>1804.3</v>
      </c>
      <c r="D179" s="63">
        <f t="shared" si="4"/>
        <v>1.799819453847884E-2</v>
      </c>
      <c r="F179" s="60">
        <v>45796</v>
      </c>
      <c r="G179" s="62">
        <v>24945.45</v>
      </c>
      <c r="H179" s="63">
        <f t="shared" si="5"/>
        <v>1.0595975514404055E-2</v>
      </c>
    </row>
    <row r="180" spans="2:8" x14ac:dyDescent="0.3">
      <c r="B180" s="60">
        <v>45793</v>
      </c>
      <c r="C180" s="62">
        <v>1739.9</v>
      </c>
      <c r="D180" s="63">
        <f t="shared" si="4"/>
        <v>-3.5692512331652049E-2</v>
      </c>
      <c r="F180" s="60">
        <v>45793</v>
      </c>
      <c r="G180" s="62">
        <v>25019.8</v>
      </c>
      <c r="H180" s="63">
        <f t="shared" si="5"/>
        <v>2.9805034585463908E-3</v>
      </c>
    </row>
    <row r="181" spans="2:8" x14ac:dyDescent="0.3">
      <c r="B181" s="60">
        <v>45792</v>
      </c>
      <c r="C181" s="62">
        <v>1743.8</v>
      </c>
      <c r="D181" s="63">
        <f t="shared" si="4"/>
        <v>2.2415081326512265E-3</v>
      </c>
      <c r="F181" s="60">
        <v>45792</v>
      </c>
      <c r="G181" s="62">
        <v>25062.1</v>
      </c>
      <c r="H181" s="63">
        <f t="shared" si="5"/>
        <v>1.6906609964908448E-3</v>
      </c>
    </row>
    <row r="182" spans="2:8" x14ac:dyDescent="0.3">
      <c r="B182" s="60">
        <v>45791</v>
      </c>
      <c r="C182" s="62">
        <v>1708.7</v>
      </c>
      <c r="D182" s="63">
        <f t="shared" si="4"/>
        <v>-2.0128455098061604E-2</v>
      </c>
      <c r="F182" s="60">
        <v>45791</v>
      </c>
      <c r="G182" s="62">
        <v>24666.9</v>
      </c>
      <c r="H182" s="63">
        <f t="shared" si="5"/>
        <v>-1.5768830225719177E-2</v>
      </c>
    </row>
    <row r="183" spans="2:8" x14ac:dyDescent="0.3">
      <c r="B183" s="60">
        <v>45790</v>
      </c>
      <c r="C183" s="62">
        <v>1691.8</v>
      </c>
      <c r="D183" s="63">
        <f t="shared" si="4"/>
        <v>-9.890560074910848E-3</v>
      </c>
      <c r="F183" s="60">
        <v>45790</v>
      </c>
      <c r="G183" s="62">
        <v>24578.35</v>
      </c>
      <c r="H183" s="63">
        <f t="shared" si="5"/>
        <v>-3.5898309070050427E-3</v>
      </c>
    </row>
    <row r="184" spans="2:8" x14ac:dyDescent="0.3">
      <c r="B184" s="60">
        <v>45789</v>
      </c>
      <c r="C184" s="62">
        <v>1677.6</v>
      </c>
      <c r="D184" s="63">
        <f t="shared" si="4"/>
        <v>-8.3934271190447829E-3</v>
      </c>
      <c r="F184" s="60">
        <v>45789</v>
      </c>
      <c r="G184" s="62">
        <v>24924.7</v>
      </c>
      <c r="H184" s="63">
        <f t="shared" si="5"/>
        <v>1.4091670108042242E-2</v>
      </c>
    </row>
    <row r="185" spans="2:8" x14ac:dyDescent="0.3">
      <c r="B185" s="60">
        <v>45786</v>
      </c>
      <c r="C185" s="62">
        <v>1602.6</v>
      </c>
      <c r="D185" s="63">
        <f t="shared" si="4"/>
        <v>-4.4706723891273281E-2</v>
      </c>
      <c r="F185" s="60">
        <v>45786</v>
      </c>
      <c r="G185" s="62">
        <v>24008</v>
      </c>
      <c r="H185" s="63">
        <f t="shared" si="5"/>
        <v>-3.6778777678367236E-2</v>
      </c>
    </row>
    <row r="186" spans="2:8" x14ac:dyDescent="0.3">
      <c r="B186" s="60">
        <v>45785</v>
      </c>
      <c r="C186" s="62">
        <v>1549.3</v>
      </c>
      <c r="D186" s="63">
        <f t="shared" si="4"/>
        <v>-3.3258455010607757E-2</v>
      </c>
      <c r="F186" s="60">
        <v>45785</v>
      </c>
      <c r="G186" s="62">
        <v>24273.8</v>
      </c>
      <c r="H186" s="63">
        <f t="shared" si="5"/>
        <v>1.1071309563478904E-2</v>
      </c>
    </row>
    <row r="187" spans="2:8" x14ac:dyDescent="0.3">
      <c r="B187" s="60">
        <v>45784</v>
      </c>
      <c r="C187" s="62">
        <v>1571.9</v>
      </c>
      <c r="D187" s="63">
        <f t="shared" si="4"/>
        <v>1.4587232943910289E-2</v>
      </c>
      <c r="F187" s="60">
        <v>45784</v>
      </c>
      <c r="G187" s="62">
        <v>24414.400000000001</v>
      </c>
      <c r="H187" s="63">
        <f t="shared" si="5"/>
        <v>5.7922533760681461E-3</v>
      </c>
    </row>
    <row r="188" spans="2:8" x14ac:dyDescent="0.3">
      <c r="B188" s="60">
        <v>45783</v>
      </c>
      <c r="C188" s="62">
        <v>1570.3</v>
      </c>
      <c r="D188" s="63">
        <f t="shared" si="4"/>
        <v>-1.0178764552453146E-3</v>
      </c>
      <c r="F188" s="60">
        <v>45783</v>
      </c>
      <c r="G188" s="62">
        <v>24379.599999999999</v>
      </c>
      <c r="H188" s="63">
        <f t="shared" si="5"/>
        <v>-1.4253882954323727E-3</v>
      </c>
    </row>
    <row r="189" spans="2:8" x14ac:dyDescent="0.3">
      <c r="B189" s="60">
        <v>45782</v>
      </c>
      <c r="C189" s="62">
        <v>1622</v>
      </c>
      <c r="D189" s="63">
        <f t="shared" si="4"/>
        <v>3.2923645163344561E-2</v>
      </c>
      <c r="F189" s="60">
        <v>45782</v>
      </c>
      <c r="G189" s="62">
        <v>24461.15</v>
      </c>
      <c r="H189" s="63">
        <f t="shared" si="5"/>
        <v>3.3450097622602648E-3</v>
      </c>
    </row>
    <row r="190" spans="2:8" x14ac:dyDescent="0.3">
      <c r="B190" s="60">
        <v>45779</v>
      </c>
      <c r="C190" s="62">
        <v>1610</v>
      </c>
      <c r="D190" s="63">
        <f t="shared" si="4"/>
        <v>-7.3982737361282247E-3</v>
      </c>
      <c r="F190" s="60">
        <v>45779</v>
      </c>
      <c r="G190" s="62">
        <v>24346.7</v>
      </c>
      <c r="H190" s="63">
        <f t="shared" si="5"/>
        <v>-4.6788478873642791E-3</v>
      </c>
    </row>
    <row r="191" spans="2:8" x14ac:dyDescent="0.3">
      <c r="B191" s="60">
        <v>45777</v>
      </c>
      <c r="C191" s="62">
        <v>1577</v>
      </c>
      <c r="D191" s="63">
        <f t="shared" si="4"/>
        <v>-2.0496894409937849E-2</v>
      </c>
      <c r="F191" s="60">
        <v>45777</v>
      </c>
      <c r="G191" s="62">
        <v>24334.2</v>
      </c>
      <c r="H191" s="63">
        <f t="shared" si="5"/>
        <v>-5.1341660266068789E-4</v>
      </c>
    </row>
    <row r="192" spans="2:8" x14ac:dyDescent="0.3">
      <c r="B192" s="60">
        <v>45776</v>
      </c>
      <c r="C192" s="62">
        <v>1640.7</v>
      </c>
      <c r="D192" s="63">
        <f t="shared" si="4"/>
        <v>4.0393151553582696E-2</v>
      </c>
      <c r="F192" s="60">
        <v>45776</v>
      </c>
      <c r="G192" s="62">
        <v>24335.95</v>
      </c>
      <c r="H192" s="63">
        <f t="shared" si="5"/>
        <v>7.1915246854237225E-5</v>
      </c>
    </row>
    <row r="193" spans="2:8" x14ac:dyDescent="0.3">
      <c r="B193" s="60">
        <v>45775</v>
      </c>
      <c r="C193" s="62">
        <v>1685.9</v>
      </c>
      <c r="D193" s="63">
        <f t="shared" si="4"/>
        <v>2.7549216797708276E-2</v>
      </c>
      <c r="F193" s="60">
        <v>45775</v>
      </c>
      <c r="G193" s="62">
        <v>24328.5</v>
      </c>
      <c r="H193" s="63">
        <f t="shared" si="5"/>
        <v>-3.0613146394531388E-4</v>
      </c>
    </row>
    <row r="194" spans="2:8" x14ac:dyDescent="0.3">
      <c r="B194" s="60">
        <v>45772</v>
      </c>
      <c r="C194" s="62">
        <v>1668.4</v>
      </c>
      <c r="D194" s="63">
        <f t="shared" si="4"/>
        <v>-1.0380212349486939E-2</v>
      </c>
      <c r="F194" s="60">
        <v>45772</v>
      </c>
      <c r="G194" s="62">
        <v>24039.35</v>
      </c>
      <c r="H194" s="63">
        <f t="shared" si="5"/>
        <v>-1.1885237478677313E-2</v>
      </c>
    </row>
    <row r="195" spans="2:8" x14ac:dyDescent="0.3">
      <c r="B195" s="60">
        <v>45771</v>
      </c>
      <c r="C195" s="62">
        <v>1755.3</v>
      </c>
      <c r="D195" s="63">
        <f t="shared" si="4"/>
        <v>5.2085830736034344E-2</v>
      </c>
      <c r="F195" s="60">
        <v>45771</v>
      </c>
      <c r="G195" s="62">
        <v>24246.7</v>
      </c>
      <c r="H195" s="63">
        <f t="shared" si="5"/>
        <v>8.6254412036932404E-3</v>
      </c>
    </row>
    <row r="196" spans="2:8" x14ac:dyDescent="0.3">
      <c r="B196" s="60">
        <v>45770</v>
      </c>
      <c r="C196" s="62">
        <v>1788.3</v>
      </c>
      <c r="D196" s="63">
        <f t="shared" si="4"/>
        <v>1.8800205093146394E-2</v>
      </c>
      <c r="F196" s="60">
        <v>45770</v>
      </c>
      <c r="G196" s="62">
        <v>24328.95</v>
      </c>
      <c r="H196" s="63">
        <f t="shared" si="5"/>
        <v>3.3922141982207776E-3</v>
      </c>
    </row>
    <row r="197" spans="2:8" x14ac:dyDescent="0.3">
      <c r="B197" s="60">
        <v>45769</v>
      </c>
      <c r="C197" s="62">
        <v>1813.9</v>
      </c>
      <c r="D197" s="63">
        <f t="shared" si="4"/>
        <v>1.4315271486887049E-2</v>
      </c>
      <c r="F197" s="60">
        <v>45769</v>
      </c>
      <c r="G197" s="62">
        <v>24167.25</v>
      </c>
      <c r="H197" s="63">
        <f t="shared" si="5"/>
        <v>-6.6464027424117944E-3</v>
      </c>
    </row>
    <row r="198" spans="2:8" x14ac:dyDescent="0.3">
      <c r="B198" s="60">
        <v>45768</v>
      </c>
      <c r="C198" s="62">
        <v>1792.4</v>
      </c>
      <c r="D198" s="63">
        <f t="shared" si="4"/>
        <v>-1.185291361155516E-2</v>
      </c>
      <c r="F198" s="60">
        <v>45768</v>
      </c>
      <c r="G198" s="62">
        <v>24125.55</v>
      </c>
      <c r="H198" s="63">
        <f t="shared" si="5"/>
        <v>-1.7254755919684506E-3</v>
      </c>
    </row>
    <row r="199" spans="2:8" x14ac:dyDescent="0.3">
      <c r="B199" s="60">
        <v>45764</v>
      </c>
      <c r="C199" s="62">
        <v>1769.9</v>
      </c>
      <c r="D199" s="63">
        <f t="shared" si="4"/>
        <v>-1.2553001562151334E-2</v>
      </c>
      <c r="F199" s="60">
        <v>45764</v>
      </c>
      <c r="G199" s="62">
        <v>23851.65</v>
      </c>
      <c r="H199" s="63">
        <f t="shared" si="5"/>
        <v>-1.135310904829101E-2</v>
      </c>
    </row>
    <row r="200" spans="2:8" x14ac:dyDescent="0.3">
      <c r="B200" s="60">
        <v>45763</v>
      </c>
      <c r="C200" s="62">
        <v>1754.4</v>
      </c>
      <c r="D200" s="63">
        <f t="shared" si="4"/>
        <v>-8.7575569241200579E-3</v>
      </c>
      <c r="F200" s="60">
        <v>45763</v>
      </c>
      <c r="G200" s="62">
        <v>23437.200000000001</v>
      </c>
      <c r="H200" s="63">
        <f t="shared" si="5"/>
        <v>-1.7376156366540663E-2</v>
      </c>
    </row>
    <row r="201" spans="2:8" x14ac:dyDescent="0.3">
      <c r="B201" s="60">
        <v>45762</v>
      </c>
      <c r="C201" s="62">
        <v>1725.5</v>
      </c>
      <c r="D201" s="63">
        <f t="shared" ref="D201:D264" si="6">C201/C200-1</f>
        <v>-1.6472868217054293E-2</v>
      </c>
      <c r="F201" s="60">
        <v>45762</v>
      </c>
      <c r="G201" s="62">
        <v>23328.55</v>
      </c>
      <c r="H201" s="63">
        <f t="shared" ref="H201:H264" si="7">G201/G200-1</f>
        <v>-4.6357926714796216E-3</v>
      </c>
    </row>
    <row r="202" spans="2:8" x14ac:dyDescent="0.3">
      <c r="B202" s="60">
        <v>45758</v>
      </c>
      <c r="C202" s="62">
        <v>1680.55</v>
      </c>
      <c r="D202" s="63">
        <f t="shared" si="6"/>
        <v>-2.6050420168067245E-2</v>
      </c>
      <c r="F202" s="60">
        <v>45758</v>
      </c>
      <c r="G202" s="62">
        <v>22828.55</v>
      </c>
      <c r="H202" s="63">
        <f t="shared" si="7"/>
        <v>-2.1432965186434672E-2</v>
      </c>
    </row>
    <row r="203" spans="2:8" x14ac:dyDescent="0.3">
      <c r="B203" s="60">
        <v>45756</v>
      </c>
      <c r="C203" s="62">
        <v>1618.4</v>
      </c>
      <c r="D203" s="63">
        <f t="shared" si="6"/>
        <v>-3.6981940436166649E-2</v>
      </c>
      <c r="F203" s="60">
        <v>45756</v>
      </c>
      <c r="G203" s="62">
        <v>22399.15</v>
      </c>
      <c r="H203" s="63">
        <f t="shared" si="7"/>
        <v>-1.8809779858992237E-2</v>
      </c>
    </row>
    <row r="204" spans="2:8" x14ac:dyDescent="0.3">
      <c r="B204" s="60">
        <v>45755</v>
      </c>
      <c r="C204" s="62">
        <v>1602.05</v>
      </c>
      <c r="D204" s="63">
        <f t="shared" si="6"/>
        <v>-1.0102570439940783E-2</v>
      </c>
      <c r="F204" s="60">
        <v>45755</v>
      </c>
      <c r="G204" s="62">
        <v>22535.85</v>
      </c>
      <c r="H204" s="63">
        <f t="shared" si="7"/>
        <v>6.1029101550726939E-3</v>
      </c>
    </row>
    <row r="205" spans="2:8" x14ac:dyDescent="0.3">
      <c r="B205" s="60">
        <v>45754</v>
      </c>
      <c r="C205" s="62">
        <v>1557.05</v>
      </c>
      <c r="D205" s="63">
        <f t="shared" si="6"/>
        <v>-2.8089010954714277E-2</v>
      </c>
      <c r="F205" s="60">
        <v>45754</v>
      </c>
      <c r="G205" s="62">
        <v>22161.599999999999</v>
      </c>
      <c r="H205" s="63">
        <f t="shared" si="7"/>
        <v>-1.6606873048942039E-2</v>
      </c>
    </row>
    <row r="206" spans="2:8" x14ac:dyDescent="0.3">
      <c r="B206" s="60">
        <v>45751</v>
      </c>
      <c r="C206" s="62">
        <v>1598.7</v>
      </c>
      <c r="D206" s="63">
        <f t="shared" si="6"/>
        <v>2.6749301563854688E-2</v>
      </c>
      <c r="F206" s="60">
        <v>45751</v>
      </c>
      <c r="G206" s="62">
        <v>22904.45</v>
      </c>
      <c r="H206" s="63">
        <f t="shared" si="7"/>
        <v>3.3519691719009481E-2</v>
      </c>
    </row>
    <row r="207" spans="2:8" x14ac:dyDescent="0.3">
      <c r="B207" s="60">
        <v>45750</v>
      </c>
      <c r="C207" s="62">
        <v>1672.9</v>
      </c>
      <c r="D207" s="63">
        <f t="shared" si="6"/>
        <v>4.6412710327140783E-2</v>
      </c>
      <c r="F207" s="60">
        <v>45750</v>
      </c>
      <c r="G207" s="62">
        <v>23250.1</v>
      </c>
      <c r="H207" s="63">
        <f t="shared" si="7"/>
        <v>1.5090953941264695E-2</v>
      </c>
    </row>
    <row r="208" spans="2:8" x14ac:dyDescent="0.3">
      <c r="B208" s="60">
        <v>45749</v>
      </c>
      <c r="C208" s="62">
        <v>1691.85</v>
      </c>
      <c r="D208" s="63">
        <f t="shared" si="6"/>
        <v>1.1327634646422169E-2</v>
      </c>
      <c r="F208" s="60">
        <v>45749</v>
      </c>
      <c r="G208" s="62">
        <v>23332.35</v>
      </c>
      <c r="H208" s="63">
        <f t="shared" si="7"/>
        <v>3.5376191930356349E-3</v>
      </c>
    </row>
    <row r="209" spans="2:8" x14ac:dyDescent="0.3">
      <c r="B209" s="60">
        <v>45748</v>
      </c>
      <c r="C209" s="62">
        <v>1722.35</v>
      </c>
      <c r="D209" s="63">
        <f t="shared" si="6"/>
        <v>1.8027602919880703E-2</v>
      </c>
      <c r="F209" s="60">
        <v>45748</v>
      </c>
      <c r="G209" s="62">
        <v>23165.7</v>
      </c>
      <c r="H209" s="63">
        <f t="shared" si="7"/>
        <v>-7.1424438601339624E-3</v>
      </c>
    </row>
    <row r="210" spans="2:8" x14ac:dyDescent="0.3">
      <c r="B210" s="60">
        <v>45744</v>
      </c>
      <c r="C210" s="62">
        <v>1647.35</v>
      </c>
      <c r="D210" s="63">
        <f t="shared" si="6"/>
        <v>-4.3545156327111201E-2</v>
      </c>
      <c r="F210" s="60">
        <v>45744</v>
      </c>
      <c r="G210" s="62">
        <v>23519.35</v>
      </c>
      <c r="H210" s="63">
        <f t="shared" si="7"/>
        <v>1.5266104628826049E-2</v>
      </c>
    </row>
    <row r="211" spans="2:8" x14ac:dyDescent="0.3">
      <c r="B211" s="60">
        <v>45743</v>
      </c>
      <c r="C211" s="62">
        <v>1696.85</v>
      </c>
      <c r="D211" s="63">
        <f t="shared" si="6"/>
        <v>3.0048259325583526E-2</v>
      </c>
      <c r="F211" s="60">
        <v>45743</v>
      </c>
      <c r="G211" s="62">
        <v>23591.95</v>
      </c>
      <c r="H211" s="63">
        <f t="shared" si="7"/>
        <v>3.0868200014031455E-3</v>
      </c>
    </row>
    <row r="212" spans="2:8" x14ac:dyDescent="0.3">
      <c r="B212" s="60">
        <v>45742</v>
      </c>
      <c r="C212" s="62">
        <v>1619</v>
      </c>
      <c r="D212" s="63">
        <f t="shared" si="6"/>
        <v>-4.5879128974275818E-2</v>
      </c>
      <c r="F212" s="60">
        <v>45742</v>
      </c>
      <c r="G212" s="62">
        <v>23486.85</v>
      </c>
      <c r="H212" s="63">
        <f t="shared" si="7"/>
        <v>-4.4549094076582474E-3</v>
      </c>
    </row>
    <row r="213" spans="2:8" x14ac:dyDescent="0.3">
      <c r="B213" s="60">
        <v>45741</v>
      </c>
      <c r="C213" s="62">
        <v>1648.2</v>
      </c>
      <c r="D213" s="63">
        <f t="shared" si="6"/>
        <v>1.8035824583076066E-2</v>
      </c>
      <c r="F213" s="60">
        <v>45741</v>
      </c>
      <c r="G213" s="62">
        <v>23668.65</v>
      </c>
      <c r="H213" s="63">
        <f t="shared" si="7"/>
        <v>7.7405015998315285E-3</v>
      </c>
    </row>
    <row r="214" spans="2:8" x14ac:dyDescent="0.3">
      <c r="B214" s="60">
        <v>45740</v>
      </c>
      <c r="C214" s="62">
        <v>1658.25</v>
      </c>
      <c r="D214" s="63">
        <f t="shared" si="6"/>
        <v>6.0975609756097615E-3</v>
      </c>
      <c r="F214" s="60">
        <v>45740</v>
      </c>
      <c r="G214" s="62">
        <v>23658.35</v>
      </c>
      <c r="H214" s="63">
        <f t="shared" si="7"/>
        <v>-4.3517479873178555E-4</v>
      </c>
    </row>
    <row r="215" spans="2:8" x14ac:dyDescent="0.3">
      <c r="B215" s="60">
        <v>45737</v>
      </c>
      <c r="C215" s="62">
        <v>1632.5</v>
      </c>
      <c r="D215" s="63">
        <f t="shared" si="6"/>
        <v>-1.5528418513493181E-2</v>
      </c>
      <c r="F215" s="60">
        <v>45737</v>
      </c>
      <c r="G215" s="62">
        <v>23350.400000000001</v>
      </c>
      <c r="H215" s="63">
        <f t="shared" si="7"/>
        <v>-1.3016545955233494E-2</v>
      </c>
    </row>
    <row r="216" spans="2:8" x14ac:dyDescent="0.3">
      <c r="B216" s="60">
        <v>45736</v>
      </c>
      <c r="C216" s="62">
        <v>1628.55</v>
      </c>
      <c r="D216" s="63">
        <f t="shared" si="6"/>
        <v>-2.4196018376723138E-3</v>
      </c>
      <c r="F216" s="60">
        <v>45736</v>
      </c>
      <c r="G216" s="62">
        <v>23190.65</v>
      </c>
      <c r="H216" s="63">
        <f t="shared" si="7"/>
        <v>-6.841424558037601E-3</v>
      </c>
    </row>
    <row r="217" spans="2:8" x14ac:dyDescent="0.3">
      <c r="B217" s="60">
        <v>45735</v>
      </c>
      <c r="C217" s="62">
        <v>1620.85</v>
      </c>
      <c r="D217" s="63">
        <f t="shared" si="6"/>
        <v>-4.7281323877068626E-3</v>
      </c>
      <c r="F217" s="60">
        <v>45735</v>
      </c>
      <c r="G217" s="62">
        <v>22907.599999999999</v>
      </c>
      <c r="H217" s="63">
        <f t="shared" si="7"/>
        <v>-1.2205350000970339E-2</v>
      </c>
    </row>
    <row r="218" spans="2:8" x14ac:dyDescent="0.3">
      <c r="B218" s="60">
        <v>45734</v>
      </c>
      <c r="C218" s="62">
        <v>1625.6</v>
      </c>
      <c r="D218" s="63">
        <f t="shared" si="6"/>
        <v>2.9305611253354069E-3</v>
      </c>
      <c r="F218" s="60">
        <v>45734</v>
      </c>
      <c r="G218" s="62">
        <v>22834.3</v>
      </c>
      <c r="H218" s="63">
        <f t="shared" si="7"/>
        <v>-3.199811416298437E-3</v>
      </c>
    </row>
    <row r="219" spans="2:8" x14ac:dyDescent="0.3">
      <c r="B219" s="60">
        <v>45733</v>
      </c>
      <c r="C219" s="62">
        <v>1611.85</v>
      </c>
      <c r="D219" s="63">
        <f t="shared" si="6"/>
        <v>-8.4584153543306728E-3</v>
      </c>
      <c r="F219" s="60">
        <v>45733</v>
      </c>
      <c r="G219" s="62">
        <v>22508.75</v>
      </c>
      <c r="H219" s="63">
        <f t="shared" si="7"/>
        <v>-1.4257060649986997E-2</v>
      </c>
    </row>
    <row r="220" spans="2:8" x14ac:dyDescent="0.3">
      <c r="B220" s="60">
        <v>45729</v>
      </c>
      <c r="C220" s="62">
        <v>1595.25</v>
      </c>
      <c r="D220" s="63">
        <f t="shared" si="6"/>
        <v>-1.0298725067468983E-2</v>
      </c>
      <c r="F220" s="60">
        <v>45729</v>
      </c>
      <c r="G220" s="62">
        <v>22397.200000000001</v>
      </c>
      <c r="H220" s="63">
        <f t="shared" si="7"/>
        <v>-4.955850502582293E-3</v>
      </c>
    </row>
    <row r="221" spans="2:8" x14ac:dyDescent="0.3">
      <c r="B221" s="60">
        <v>45728</v>
      </c>
      <c r="C221" s="62">
        <v>1625.85</v>
      </c>
      <c r="D221" s="63">
        <f t="shared" si="6"/>
        <v>1.9181946403384886E-2</v>
      </c>
      <c r="F221" s="60">
        <v>45728</v>
      </c>
      <c r="G221" s="62">
        <v>22470.5</v>
      </c>
      <c r="H221" s="63">
        <f t="shared" si="7"/>
        <v>3.2727305198863021E-3</v>
      </c>
    </row>
    <row r="222" spans="2:8" x14ac:dyDescent="0.3">
      <c r="B222" s="60">
        <v>45727</v>
      </c>
      <c r="C222" s="62">
        <v>1638</v>
      </c>
      <c r="D222" s="63">
        <f t="shared" si="6"/>
        <v>7.4730141156933438E-3</v>
      </c>
      <c r="F222" s="60">
        <v>45727</v>
      </c>
      <c r="G222" s="62">
        <v>22497.9</v>
      </c>
      <c r="H222" s="63">
        <f t="shared" si="7"/>
        <v>1.2193765158763359E-3</v>
      </c>
    </row>
    <row r="223" spans="2:8" x14ac:dyDescent="0.3">
      <c r="B223" s="60">
        <v>45726</v>
      </c>
      <c r="C223" s="62">
        <v>1666</v>
      </c>
      <c r="D223" s="63">
        <f t="shared" si="6"/>
        <v>1.7094017094017033E-2</v>
      </c>
      <c r="F223" s="60">
        <v>45726</v>
      </c>
      <c r="G223" s="62">
        <v>22460.3</v>
      </c>
      <c r="H223" s="63">
        <f t="shared" si="7"/>
        <v>-1.6712670960401521E-3</v>
      </c>
    </row>
    <row r="224" spans="2:8" x14ac:dyDescent="0.3">
      <c r="B224" s="60">
        <v>45723</v>
      </c>
      <c r="C224" s="62">
        <v>1720.65</v>
      </c>
      <c r="D224" s="63">
        <f t="shared" si="6"/>
        <v>3.2803121248499378E-2</v>
      </c>
      <c r="F224" s="60">
        <v>45723</v>
      </c>
      <c r="G224" s="62">
        <v>22552.5</v>
      </c>
      <c r="H224" s="63">
        <f t="shared" si="7"/>
        <v>4.1050208590267534E-3</v>
      </c>
    </row>
    <row r="225" spans="2:8" x14ac:dyDescent="0.3">
      <c r="B225" s="60">
        <v>45722</v>
      </c>
      <c r="C225" s="62">
        <v>1746.6</v>
      </c>
      <c r="D225" s="63">
        <f t="shared" si="6"/>
        <v>1.5081509894516509E-2</v>
      </c>
      <c r="F225" s="60">
        <v>45722</v>
      </c>
      <c r="G225" s="62">
        <v>22544.7</v>
      </c>
      <c r="H225" s="63">
        <f t="shared" si="7"/>
        <v>-3.4585966079148101E-4</v>
      </c>
    </row>
    <row r="226" spans="2:8" x14ac:dyDescent="0.3">
      <c r="B226" s="60">
        <v>45721</v>
      </c>
      <c r="C226" s="62">
        <v>1668</v>
      </c>
      <c r="D226" s="63">
        <f t="shared" si="6"/>
        <v>-4.5001717622810022E-2</v>
      </c>
      <c r="F226" s="60">
        <v>45721</v>
      </c>
      <c r="G226" s="62">
        <v>22337.3</v>
      </c>
      <c r="H226" s="63">
        <f t="shared" si="7"/>
        <v>-9.1995014349270932E-3</v>
      </c>
    </row>
    <row r="227" spans="2:8" x14ac:dyDescent="0.3">
      <c r="B227" s="60">
        <v>45720</v>
      </c>
      <c r="C227" s="62">
        <v>1571.9</v>
      </c>
      <c r="D227" s="63">
        <f t="shared" si="6"/>
        <v>-5.7613908872901631E-2</v>
      </c>
      <c r="F227" s="60">
        <v>45720</v>
      </c>
      <c r="G227" s="62">
        <v>22082.65</v>
      </c>
      <c r="H227" s="63">
        <f t="shared" si="7"/>
        <v>-1.14002139918431E-2</v>
      </c>
    </row>
    <row r="228" spans="2:8" x14ac:dyDescent="0.3">
      <c r="B228" s="60">
        <v>45719</v>
      </c>
      <c r="C228" s="62">
        <v>1504.75</v>
      </c>
      <c r="D228" s="63">
        <f t="shared" si="6"/>
        <v>-4.2719002481073964E-2</v>
      </c>
      <c r="F228" s="60">
        <v>45719</v>
      </c>
      <c r="G228" s="62">
        <v>22119.3</v>
      </c>
      <c r="H228" s="63">
        <f t="shared" si="7"/>
        <v>1.6596739974594765E-3</v>
      </c>
    </row>
    <row r="229" spans="2:8" x14ac:dyDescent="0.3">
      <c r="B229" s="60">
        <v>45716</v>
      </c>
      <c r="C229" s="62">
        <v>1576.4</v>
      </c>
      <c r="D229" s="63">
        <f t="shared" si="6"/>
        <v>4.7615883037049445E-2</v>
      </c>
      <c r="F229" s="60">
        <v>45716</v>
      </c>
      <c r="G229" s="62">
        <v>22124.7</v>
      </c>
      <c r="H229" s="63">
        <f t="shared" si="7"/>
        <v>2.4413069129680665E-4</v>
      </c>
    </row>
    <row r="230" spans="2:8" x14ac:dyDescent="0.3">
      <c r="B230" s="60">
        <v>45715</v>
      </c>
      <c r="C230" s="62">
        <v>1600.65</v>
      </c>
      <c r="D230" s="63">
        <f t="shared" si="6"/>
        <v>1.538315148439473E-2</v>
      </c>
      <c r="F230" s="60">
        <v>45715</v>
      </c>
      <c r="G230" s="62">
        <v>22545.05</v>
      </c>
      <c r="H230" s="63">
        <f t="shared" si="7"/>
        <v>1.8999127671787575E-2</v>
      </c>
    </row>
    <row r="231" spans="2:8" x14ac:dyDescent="0.3">
      <c r="B231" s="60">
        <v>45713</v>
      </c>
      <c r="C231" s="62">
        <v>1621.45</v>
      </c>
      <c r="D231" s="63">
        <f t="shared" si="6"/>
        <v>1.2994720894636602E-2</v>
      </c>
      <c r="F231" s="60">
        <v>45713</v>
      </c>
      <c r="G231" s="62">
        <v>22547.55</v>
      </c>
      <c r="H231" s="63">
        <f t="shared" si="7"/>
        <v>1.1088908651779583E-4</v>
      </c>
    </row>
    <row r="232" spans="2:8" x14ac:dyDescent="0.3">
      <c r="B232" s="60">
        <v>45712</v>
      </c>
      <c r="C232" s="62">
        <v>1687.5</v>
      </c>
      <c r="D232" s="63">
        <f t="shared" si="6"/>
        <v>4.0735144469456364E-2</v>
      </c>
      <c r="F232" s="60">
        <v>45712</v>
      </c>
      <c r="G232" s="62">
        <v>22553.35</v>
      </c>
      <c r="H232" s="63">
        <f t="shared" si="7"/>
        <v>2.5723415626077717E-4</v>
      </c>
    </row>
    <row r="233" spans="2:8" x14ac:dyDescent="0.3">
      <c r="B233" s="60">
        <v>45709</v>
      </c>
      <c r="C233" s="62">
        <v>1667.85</v>
      </c>
      <c r="D233" s="63">
        <f t="shared" si="6"/>
        <v>-1.1644444444444457E-2</v>
      </c>
      <c r="F233" s="60">
        <v>45709</v>
      </c>
      <c r="G233" s="62">
        <v>22795.9</v>
      </c>
      <c r="H233" s="63">
        <f t="shared" si="7"/>
        <v>1.0754499885826441E-2</v>
      </c>
    </row>
    <row r="234" spans="2:8" x14ac:dyDescent="0.3">
      <c r="B234" s="60">
        <v>45708</v>
      </c>
      <c r="C234" s="62">
        <v>1654.3</v>
      </c>
      <c r="D234" s="63">
        <f t="shared" si="6"/>
        <v>-8.1242317954252075E-3</v>
      </c>
      <c r="F234" s="60">
        <v>45708</v>
      </c>
      <c r="G234" s="62">
        <v>22913.15</v>
      </c>
      <c r="H234" s="63">
        <f t="shared" si="7"/>
        <v>5.1434687816669378E-3</v>
      </c>
    </row>
    <row r="235" spans="2:8" x14ac:dyDescent="0.3">
      <c r="B235" s="60">
        <v>45707</v>
      </c>
      <c r="C235" s="62">
        <v>1667.65</v>
      </c>
      <c r="D235" s="63">
        <f t="shared" si="6"/>
        <v>8.069878498458749E-3</v>
      </c>
      <c r="F235" s="60">
        <v>45707</v>
      </c>
      <c r="G235" s="62">
        <v>22932.9</v>
      </c>
      <c r="H235" s="63">
        <f t="shared" si="7"/>
        <v>8.6195045203307785E-4</v>
      </c>
    </row>
    <row r="236" spans="2:8" x14ac:dyDescent="0.3">
      <c r="B236" s="60">
        <v>45706</v>
      </c>
      <c r="C236" s="62">
        <v>1611.55</v>
      </c>
      <c r="D236" s="63">
        <f t="shared" si="6"/>
        <v>-3.3640152310137061E-2</v>
      </c>
      <c r="F236" s="60">
        <v>45706</v>
      </c>
      <c r="G236" s="62">
        <v>22945.3</v>
      </c>
      <c r="H236" s="63">
        <f t="shared" si="7"/>
        <v>5.4070789128268792E-4</v>
      </c>
    </row>
    <row r="237" spans="2:8" x14ac:dyDescent="0.3">
      <c r="B237" s="60">
        <v>45705</v>
      </c>
      <c r="C237" s="62">
        <v>1723.7</v>
      </c>
      <c r="D237" s="63">
        <f t="shared" si="6"/>
        <v>6.9591387173838948E-2</v>
      </c>
      <c r="F237" s="60">
        <v>45705</v>
      </c>
      <c r="G237" s="62">
        <v>22959.5</v>
      </c>
      <c r="H237" s="63">
        <f t="shared" si="7"/>
        <v>6.1886312229519902E-4</v>
      </c>
    </row>
    <row r="238" spans="2:8" x14ac:dyDescent="0.3">
      <c r="B238" s="60">
        <v>45702</v>
      </c>
      <c r="C238" s="62">
        <v>1615.25</v>
      </c>
      <c r="D238" s="63">
        <f t="shared" si="6"/>
        <v>-6.291698091315201E-2</v>
      </c>
      <c r="F238" s="60">
        <v>45702</v>
      </c>
      <c r="G238" s="62">
        <v>22929.25</v>
      </c>
      <c r="H238" s="63">
        <f t="shared" si="7"/>
        <v>-1.3175374028180364E-3</v>
      </c>
    </row>
    <row r="239" spans="2:8" x14ac:dyDescent="0.3">
      <c r="B239" s="60">
        <v>45701</v>
      </c>
      <c r="C239" s="62">
        <v>1795.25</v>
      </c>
      <c r="D239" s="63">
        <f t="shared" si="6"/>
        <v>0.11143785791673122</v>
      </c>
      <c r="F239" s="60">
        <v>45701</v>
      </c>
      <c r="G239" s="62">
        <v>23031.4</v>
      </c>
      <c r="H239" s="63">
        <f t="shared" si="7"/>
        <v>4.4550083408747554E-3</v>
      </c>
    </row>
    <row r="240" spans="2:8" x14ac:dyDescent="0.3">
      <c r="B240" s="60">
        <v>45700</v>
      </c>
      <c r="C240" s="62">
        <v>1790.5</v>
      </c>
      <c r="D240" s="63">
        <f t="shared" si="6"/>
        <v>-2.6458710486004788E-3</v>
      </c>
      <c r="F240" s="60">
        <v>45700</v>
      </c>
      <c r="G240" s="62">
        <v>23045.25</v>
      </c>
      <c r="H240" s="63">
        <f t="shared" si="7"/>
        <v>6.0135293555751979E-4</v>
      </c>
    </row>
    <row r="241" spans="2:8" x14ac:dyDescent="0.3">
      <c r="B241" s="60">
        <v>45699</v>
      </c>
      <c r="C241" s="62">
        <v>1742.05</v>
      </c>
      <c r="D241" s="63">
        <f t="shared" si="6"/>
        <v>-2.7059480592013463E-2</v>
      </c>
      <c r="F241" s="60">
        <v>45699</v>
      </c>
      <c r="G241" s="62">
        <v>23071.8</v>
      </c>
      <c r="H241" s="63">
        <f t="shared" si="7"/>
        <v>1.1520812314902429E-3</v>
      </c>
    </row>
    <row r="242" spans="2:8" x14ac:dyDescent="0.3">
      <c r="B242" s="60">
        <v>45698</v>
      </c>
      <c r="C242" s="62">
        <v>1751.35</v>
      </c>
      <c r="D242" s="63">
        <f t="shared" si="6"/>
        <v>5.3385379294508262E-3</v>
      </c>
      <c r="F242" s="60">
        <v>45698</v>
      </c>
      <c r="G242" s="62">
        <v>23381.599999999999</v>
      </c>
      <c r="H242" s="63">
        <f t="shared" si="7"/>
        <v>1.3427647604434823E-2</v>
      </c>
    </row>
    <row r="243" spans="2:8" x14ac:dyDescent="0.3">
      <c r="B243" s="60">
        <v>45695</v>
      </c>
      <c r="C243" s="62">
        <v>1911.85</v>
      </c>
      <c r="D243" s="63">
        <f t="shared" si="6"/>
        <v>9.1643589231164446E-2</v>
      </c>
      <c r="F243" s="60">
        <v>45695</v>
      </c>
      <c r="G243" s="62">
        <v>23559.95</v>
      </c>
      <c r="H243" s="63">
        <f t="shared" si="7"/>
        <v>7.6277927943340096E-3</v>
      </c>
    </row>
    <row r="244" spans="2:8" x14ac:dyDescent="0.3">
      <c r="B244" s="60">
        <v>45694</v>
      </c>
      <c r="C244" s="62">
        <v>1967.85</v>
      </c>
      <c r="D244" s="63">
        <f t="shared" si="6"/>
        <v>2.9291000863038485E-2</v>
      </c>
      <c r="F244" s="60">
        <v>45694</v>
      </c>
      <c r="G244" s="62">
        <v>23603.35</v>
      </c>
      <c r="H244" s="63">
        <f t="shared" si="7"/>
        <v>1.84210917255756E-3</v>
      </c>
    </row>
    <row r="245" spans="2:8" x14ac:dyDescent="0.3">
      <c r="B245" s="60">
        <v>45693</v>
      </c>
      <c r="C245" s="62">
        <v>1907.45</v>
      </c>
      <c r="D245" s="63">
        <f t="shared" si="6"/>
        <v>-3.0693396346266111E-2</v>
      </c>
      <c r="F245" s="60">
        <v>45693</v>
      </c>
      <c r="G245" s="62">
        <v>23696.3</v>
      </c>
      <c r="H245" s="63">
        <f t="shared" si="7"/>
        <v>3.938000326224822E-3</v>
      </c>
    </row>
    <row r="246" spans="2:8" x14ac:dyDescent="0.3">
      <c r="B246" s="60">
        <v>45692</v>
      </c>
      <c r="C246" s="62">
        <v>1926.05</v>
      </c>
      <c r="D246" s="63">
        <f t="shared" si="6"/>
        <v>9.7512385645757149E-3</v>
      </c>
      <c r="F246" s="60">
        <v>45692</v>
      </c>
      <c r="G246" s="62">
        <v>23739.25</v>
      </c>
      <c r="H246" s="63">
        <f t="shared" si="7"/>
        <v>1.8125192540607848E-3</v>
      </c>
    </row>
    <row r="247" spans="2:8" x14ac:dyDescent="0.3">
      <c r="B247" s="60">
        <v>45691</v>
      </c>
      <c r="C247" s="62">
        <v>1986.05</v>
      </c>
      <c r="D247" s="63">
        <f t="shared" si="6"/>
        <v>3.1151839256509328E-2</v>
      </c>
      <c r="F247" s="60">
        <v>45691</v>
      </c>
      <c r="G247" s="62">
        <v>23361.05</v>
      </c>
      <c r="H247" s="63">
        <f t="shared" si="7"/>
        <v>-1.593142159082539E-2</v>
      </c>
    </row>
    <row r="248" spans="2:8" x14ac:dyDescent="0.3">
      <c r="B248" s="60">
        <v>45689</v>
      </c>
      <c r="C248" s="62">
        <v>1986.85</v>
      </c>
      <c r="D248" s="63">
        <f t="shared" si="6"/>
        <v>4.0280959693861362E-4</v>
      </c>
      <c r="F248" s="60">
        <v>45689</v>
      </c>
      <c r="G248" s="62">
        <v>23482.15</v>
      </c>
      <c r="H248" s="63">
        <f t="shared" si="7"/>
        <v>5.1838423358538943E-3</v>
      </c>
    </row>
    <row r="249" spans="2:8" x14ac:dyDescent="0.3">
      <c r="B249" s="60">
        <v>45688</v>
      </c>
      <c r="C249" s="62">
        <v>1955.4</v>
      </c>
      <c r="D249" s="63">
        <f t="shared" si="6"/>
        <v>-1.582907617585616E-2</v>
      </c>
      <c r="F249" s="60">
        <v>45688</v>
      </c>
      <c r="G249" s="62">
        <v>23508.400000000001</v>
      </c>
      <c r="H249" s="63">
        <f t="shared" si="7"/>
        <v>1.1178703823968572E-3</v>
      </c>
    </row>
    <row r="250" spans="2:8" x14ac:dyDescent="0.3">
      <c r="B250" s="60">
        <v>45687</v>
      </c>
      <c r="C250" s="62">
        <v>1899.8</v>
      </c>
      <c r="D250" s="63">
        <f t="shared" si="6"/>
        <v>-2.8434079983635119E-2</v>
      </c>
      <c r="F250" s="60">
        <v>45687</v>
      </c>
      <c r="G250" s="62">
        <v>23249.5</v>
      </c>
      <c r="H250" s="63">
        <f t="shared" si="7"/>
        <v>-1.1013084684623475E-2</v>
      </c>
    </row>
    <row r="251" spans="2:8" x14ac:dyDescent="0.3">
      <c r="B251" s="60">
        <v>45686</v>
      </c>
      <c r="C251" s="62">
        <v>1919.55</v>
      </c>
      <c r="D251" s="63">
        <f t="shared" si="6"/>
        <v>1.0395831140119993E-2</v>
      </c>
      <c r="F251" s="60">
        <v>45686</v>
      </c>
      <c r="G251" s="62">
        <v>23163.1</v>
      </c>
      <c r="H251" s="63">
        <f t="shared" si="7"/>
        <v>-3.7162089507302154E-3</v>
      </c>
    </row>
    <row r="252" spans="2:8" x14ac:dyDescent="0.3">
      <c r="B252" s="60">
        <v>45685</v>
      </c>
      <c r="C252" s="62">
        <v>1802.3</v>
      </c>
      <c r="D252" s="63">
        <f t="shared" si="6"/>
        <v>-6.1082024432809745E-2</v>
      </c>
      <c r="F252" s="60">
        <v>45685</v>
      </c>
      <c r="G252" s="62">
        <v>22957.25</v>
      </c>
      <c r="H252" s="63">
        <f t="shared" si="7"/>
        <v>-8.886979722057875E-3</v>
      </c>
    </row>
    <row r="253" spans="2:8" x14ac:dyDescent="0.3">
      <c r="B253" s="60">
        <v>45684</v>
      </c>
      <c r="C253" s="62">
        <v>1899.65</v>
      </c>
      <c r="D253" s="63">
        <f t="shared" si="6"/>
        <v>5.4014315041891026E-2</v>
      </c>
      <c r="F253" s="60">
        <v>45684</v>
      </c>
      <c r="G253" s="62">
        <v>22829.15</v>
      </c>
      <c r="H253" s="63">
        <f t="shared" si="7"/>
        <v>-5.5799366213287183E-3</v>
      </c>
    </row>
    <row r="254" spans="2:8" x14ac:dyDescent="0.3">
      <c r="B254" s="60">
        <v>45681</v>
      </c>
      <c r="C254" s="62">
        <v>1927.85</v>
      </c>
      <c r="D254" s="63">
        <f t="shared" si="6"/>
        <v>1.4844839838917601E-2</v>
      </c>
      <c r="F254" s="60">
        <v>45681</v>
      </c>
      <c r="G254" s="62">
        <v>23092.2</v>
      </c>
      <c r="H254" s="63">
        <f t="shared" si="7"/>
        <v>1.152254902175498E-2</v>
      </c>
    </row>
    <row r="255" spans="2:8" x14ac:dyDescent="0.3">
      <c r="B255" s="60">
        <v>45680</v>
      </c>
      <c r="C255" s="62">
        <v>1971.7</v>
      </c>
      <c r="D255" s="63">
        <f t="shared" si="6"/>
        <v>2.2745545555930224E-2</v>
      </c>
      <c r="F255" s="60">
        <v>45680</v>
      </c>
      <c r="G255" s="62">
        <v>23205.35</v>
      </c>
      <c r="H255" s="63">
        <f t="shared" si="7"/>
        <v>4.8999229176951431E-3</v>
      </c>
    </row>
    <row r="256" spans="2:8" x14ac:dyDescent="0.3">
      <c r="B256" s="60">
        <v>45679</v>
      </c>
      <c r="C256" s="62">
        <v>2027.35</v>
      </c>
      <c r="D256" s="63">
        <f t="shared" si="6"/>
        <v>2.8224374904904259E-2</v>
      </c>
      <c r="F256" s="60">
        <v>45679</v>
      </c>
      <c r="G256" s="62">
        <v>23155.35</v>
      </c>
      <c r="H256" s="63">
        <f t="shared" si="7"/>
        <v>-2.1546755381840477E-3</v>
      </c>
    </row>
    <row r="257" spans="2:8" x14ac:dyDescent="0.3">
      <c r="B257" s="60">
        <v>45678</v>
      </c>
      <c r="C257" s="62">
        <v>2080.0500000000002</v>
      </c>
      <c r="D257" s="63">
        <f t="shared" si="6"/>
        <v>2.5994524872370528E-2</v>
      </c>
      <c r="F257" s="60">
        <v>45678</v>
      </c>
      <c r="G257" s="62">
        <v>23024.65</v>
      </c>
      <c r="H257" s="63">
        <f t="shared" si="7"/>
        <v>-5.6444838881726245E-3</v>
      </c>
    </row>
    <row r="258" spans="2:8" x14ac:dyDescent="0.3">
      <c r="B258" s="60">
        <v>45677</v>
      </c>
      <c r="C258" s="62">
        <v>2112.0500000000002</v>
      </c>
      <c r="D258" s="63">
        <f t="shared" si="6"/>
        <v>1.5384245571020028E-2</v>
      </c>
      <c r="F258" s="60">
        <v>45677</v>
      </c>
      <c r="G258" s="62">
        <v>23344.75</v>
      </c>
      <c r="H258" s="63">
        <f t="shared" si="7"/>
        <v>1.3902491460239252E-2</v>
      </c>
    </row>
    <row r="259" spans="2:8" x14ac:dyDescent="0.3">
      <c r="B259" s="60">
        <v>45674</v>
      </c>
      <c r="C259" s="62">
        <v>2127.6999999999998</v>
      </c>
      <c r="D259" s="63">
        <f t="shared" si="6"/>
        <v>7.4098624559075787E-3</v>
      </c>
      <c r="F259" s="60">
        <v>45674</v>
      </c>
      <c r="G259" s="62">
        <v>23203.200000000001</v>
      </c>
      <c r="H259" s="63">
        <f t="shared" si="7"/>
        <v>-6.0634618061876644E-3</v>
      </c>
    </row>
    <row r="260" spans="2:8" x14ac:dyDescent="0.3">
      <c r="B260" s="60">
        <v>45673</v>
      </c>
      <c r="C260" s="62">
        <v>2076.4499999999998</v>
      </c>
      <c r="D260" s="63">
        <f t="shared" si="6"/>
        <v>-2.4087042346195409E-2</v>
      </c>
      <c r="F260" s="60">
        <v>45673</v>
      </c>
      <c r="G260" s="62">
        <v>23311.8</v>
      </c>
      <c r="H260" s="63">
        <f t="shared" si="7"/>
        <v>4.680388911874056E-3</v>
      </c>
    </row>
    <row r="261" spans="2:8" x14ac:dyDescent="0.3">
      <c r="B261" s="60">
        <v>45672</v>
      </c>
      <c r="C261" s="62">
        <v>2071.3000000000002</v>
      </c>
      <c r="D261" s="63">
        <f t="shared" si="6"/>
        <v>-2.480194562835436E-3</v>
      </c>
      <c r="F261" s="60">
        <v>45672</v>
      </c>
      <c r="G261" s="62">
        <v>23213.200000000001</v>
      </c>
      <c r="H261" s="63">
        <f t="shared" si="7"/>
        <v>-4.2296176185450118E-3</v>
      </c>
    </row>
    <row r="262" spans="2:8" x14ac:dyDescent="0.3">
      <c r="B262" s="60">
        <v>45671</v>
      </c>
      <c r="C262" s="62">
        <v>2045.3</v>
      </c>
      <c r="D262" s="63">
        <f t="shared" si="6"/>
        <v>-1.2552503258823067E-2</v>
      </c>
      <c r="F262" s="60">
        <v>45671</v>
      </c>
      <c r="G262" s="62">
        <v>23176.05</v>
      </c>
      <c r="H262" s="63">
        <f t="shared" si="7"/>
        <v>-1.6003825409681705E-3</v>
      </c>
    </row>
    <row r="263" spans="2:8" x14ac:dyDescent="0.3">
      <c r="B263" s="60">
        <v>45670</v>
      </c>
      <c r="C263" s="62">
        <v>1992.45</v>
      </c>
      <c r="D263" s="63">
        <f t="shared" si="6"/>
        <v>-2.5839730112941828E-2</v>
      </c>
      <c r="F263" s="60">
        <v>45670</v>
      </c>
      <c r="G263" s="62">
        <v>23085.95</v>
      </c>
      <c r="H263" s="63">
        <f t="shared" si="7"/>
        <v>-3.887634001479956E-3</v>
      </c>
    </row>
    <row r="264" spans="2:8" x14ac:dyDescent="0.3">
      <c r="B264" s="60">
        <v>45667</v>
      </c>
      <c r="C264" s="62">
        <v>2137.6999999999998</v>
      </c>
      <c r="D264" s="63">
        <f t="shared" si="6"/>
        <v>7.2900198248387449E-2</v>
      </c>
      <c r="F264" s="60">
        <v>45667</v>
      </c>
      <c r="G264" s="62">
        <v>23431.5</v>
      </c>
      <c r="H264" s="63">
        <f t="shared" si="7"/>
        <v>1.4967978359131884E-2</v>
      </c>
    </row>
    <row r="265" spans="2:8" x14ac:dyDescent="0.3">
      <c r="B265" s="60">
        <v>45666</v>
      </c>
      <c r="C265" s="62">
        <v>2239.9</v>
      </c>
      <c r="D265" s="63">
        <f t="shared" ref="D265:D328" si="8">C265/C264-1</f>
        <v>4.7808392197221439E-2</v>
      </c>
      <c r="F265" s="60">
        <v>45666</v>
      </c>
      <c r="G265" s="62">
        <v>23526.5</v>
      </c>
      <c r="H265" s="63">
        <f t="shared" ref="H265:H328" si="9">G265/G264-1</f>
        <v>4.0543712523739561E-3</v>
      </c>
    </row>
    <row r="266" spans="2:8" x14ac:dyDescent="0.3">
      <c r="B266" s="60">
        <v>45665</v>
      </c>
      <c r="C266" s="62">
        <v>2235.8000000000002</v>
      </c>
      <c r="D266" s="63">
        <f t="shared" si="8"/>
        <v>-1.83043885887757E-3</v>
      </c>
      <c r="F266" s="60">
        <v>45665</v>
      </c>
      <c r="G266" s="62">
        <v>23688.95</v>
      </c>
      <c r="H266" s="63">
        <f t="shared" si="9"/>
        <v>6.9049794912121598E-3</v>
      </c>
    </row>
    <row r="267" spans="2:8" x14ac:dyDescent="0.3">
      <c r="B267" s="60">
        <v>45664</v>
      </c>
      <c r="C267" s="62">
        <v>2267.4499999999998</v>
      </c>
      <c r="D267" s="63">
        <f t="shared" si="8"/>
        <v>1.4156006798461185E-2</v>
      </c>
      <c r="F267" s="60">
        <v>45664</v>
      </c>
      <c r="G267" s="62">
        <v>23707.9</v>
      </c>
      <c r="H267" s="63">
        <f t="shared" si="9"/>
        <v>7.9995103202135098E-4</v>
      </c>
    </row>
    <row r="268" spans="2:8" x14ac:dyDescent="0.3">
      <c r="B268" s="60">
        <v>45663</v>
      </c>
      <c r="C268" s="62">
        <v>2256</v>
      </c>
      <c r="D268" s="63">
        <f t="shared" si="8"/>
        <v>-5.049725462523913E-3</v>
      </c>
      <c r="F268" s="60">
        <v>45663</v>
      </c>
      <c r="G268" s="62">
        <v>23616.05</v>
      </c>
      <c r="H268" s="63">
        <f t="shared" si="9"/>
        <v>-3.8742360141557075E-3</v>
      </c>
    </row>
    <row r="269" spans="2:8" x14ac:dyDescent="0.3">
      <c r="B269" s="60">
        <v>45660</v>
      </c>
      <c r="C269" s="62">
        <v>2303.0500000000002</v>
      </c>
      <c r="D269" s="63">
        <f t="shared" si="8"/>
        <v>2.0855496453900724E-2</v>
      </c>
      <c r="F269" s="60">
        <v>45660</v>
      </c>
      <c r="G269" s="62">
        <v>24004.75</v>
      </c>
      <c r="H269" s="63">
        <f t="shared" si="9"/>
        <v>1.6459145369356998E-2</v>
      </c>
    </row>
    <row r="270" spans="2:8" x14ac:dyDescent="0.3">
      <c r="B270" s="60">
        <v>45659</v>
      </c>
      <c r="C270" s="62">
        <v>2292.25</v>
      </c>
      <c r="D270" s="63">
        <f t="shared" si="8"/>
        <v>-4.6894335772128537E-3</v>
      </c>
      <c r="F270" s="60">
        <v>45659</v>
      </c>
      <c r="G270" s="62">
        <v>24188.65</v>
      </c>
      <c r="H270" s="63">
        <f t="shared" si="9"/>
        <v>7.6609837636301137E-3</v>
      </c>
    </row>
    <row r="271" spans="2:8" x14ac:dyDescent="0.3">
      <c r="B271" s="60">
        <v>45658</v>
      </c>
      <c r="C271" s="62">
        <v>2217.65</v>
      </c>
      <c r="D271" s="63">
        <f t="shared" si="8"/>
        <v>-3.2544443232631615E-2</v>
      </c>
      <c r="F271" s="60">
        <v>45658</v>
      </c>
      <c r="G271" s="62">
        <v>23742.9</v>
      </c>
      <c r="H271" s="63">
        <f t="shared" si="9"/>
        <v>-1.8428064402105981E-2</v>
      </c>
    </row>
    <row r="272" spans="2:8" x14ac:dyDescent="0.3">
      <c r="B272" s="60">
        <v>45657</v>
      </c>
      <c r="C272" s="62">
        <v>2210.6999999999998</v>
      </c>
      <c r="D272" s="63">
        <f t="shared" si="8"/>
        <v>-3.1339480982122137E-3</v>
      </c>
      <c r="F272" s="60">
        <v>45657</v>
      </c>
      <c r="G272" s="62">
        <v>23644.799999999999</v>
      </c>
      <c r="H272" s="63">
        <f t="shared" si="9"/>
        <v>-4.1317614950154846E-3</v>
      </c>
    </row>
    <row r="273" spans="2:8" x14ac:dyDescent="0.3">
      <c r="B273" s="60">
        <v>45656</v>
      </c>
      <c r="C273" s="62">
        <v>2279.4499999999998</v>
      </c>
      <c r="D273" s="63">
        <f t="shared" si="8"/>
        <v>3.109874700321158E-2</v>
      </c>
      <c r="F273" s="60">
        <v>45656</v>
      </c>
      <c r="G273" s="62">
        <v>23644.9</v>
      </c>
      <c r="H273" s="63">
        <f t="shared" si="9"/>
        <v>4.2292597104420793E-6</v>
      </c>
    </row>
    <row r="274" spans="2:8" x14ac:dyDescent="0.3">
      <c r="B274" s="60">
        <v>45653</v>
      </c>
      <c r="C274" s="62">
        <v>2348.9</v>
      </c>
      <c r="D274" s="63">
        <f t="shared" si="8"/>
        <v>3.0467876022724827E-2</v>
      </c>
      <c r="F274" s="60">
        <v>45653</v>
      </c>
      <c r="G274" s="62">
        <v>23813.4</v>
      </c>
      <c r="H274" s="63">
        <f t="shared" si="9"/>
        <v>7.126272473133799E-3</v>
      </c>
    </row>
    <row r="275" spans="2:8" x14ac:dyDescent="0.3">
      <c r="B275" s="60">
        <v>45652</v>
      </c>
      <c r="C275" s="62">
        <v>2389.25</v>
      </c>
      <c r="D275" s="63">
        <f t="shared" si="8"/>
        <v>1.7178253650644848E-2</v>
      </c>
      <c r="F275" s="60">
        <v>45652</v>
      </c>
      <c r="G275" s="62">
        <v>23750.2</v>
      </c>
      <c r="H275" s="63">
        <f t="shared" si="9"/>
        <v>-2.6539679340203959E-3</v>
      </c>
    </row>
    <row r="276" spans="2:8" x14ac:dyDescent="0.3">
      <c r="B276" s="60">
        <v>45650</v>
      </c>
      <c r="C276" s="62">
        <v>2436.6999999999998</v>
      </c>
      <c r="D276" s="63">
        <f t="shared" si="8"/>
        <v>1.9859788636601428E-2</v>
      </c>
      <c r="F276" s="60">
        <v>45650</v>
      </c>
      <c r="G276" s="62">
        <v>23727.65</v>
      </c>
      <c r="H276" s="63">
        <f t="shared" si="9"/>
        <v>-9.4946568870990511E-4</v>
      </c>
    </row>
    <row r="277" spans="2:8" x14ac:dyDescent="0.3">
      <c r="B277" s="60">
        <v>45649</v>
      </c>
      <c r="C277" s="62">
        <v>2464.35</v>
      </c>
      <c r="D277" s="63">
        <f t="shared" si="8"/>
        <v>1.1347313990232699E-2</v>
      </c>
      <c r="F277" s="60">
        <v>45649</v>
      </c>
      <c r="G277" s="62">
        <v>23753.45</v>
      </c>
      <c r="H277" s="63">
        <f t="shared" si="9"/>
        <v>1.0873390327317267E-3</v>
      </c>
    </row>
    <row r="278" spans="2:8" x14ac:dyDescent="0.3">
      <c r="B278" s="60">
        <v>45646</v>
      </c>
      <c r="C278" s="62">
        <v>2466.9499999999998</v>
      </c>
      <c r="D278" s="63">
        <f t="shared" si="8"/>
        <v>1.0550449408566198E-3</v>
      </c>
      <c r="F278" s="60">
        <v>45646</v>
      </c>
      <c r="G278" s="62">
        <v>23587.5</v>
      </c>
      <c r="H278" s="63">
        <f t="shared" si="9"/>
        <v>-6.9863535612721961E-3</v>
      </c>
    </row>
    <row r="279" spans="2:8" x14ac:dyDescent="0.3">
      <c r="B279" s="60">
        <v>45645</v>
      </c>
      <c r="C279" s="62">
        <v>2549.3000000000002</v>
      </c>
      <c r="D279" s="63">
        <f t="shared" si="8"/>
        <v>3.3381300796530233E-2</v>
      </c>
      <c r="F279" s="60">
        <v>45645</v>
      </c>
      <c r="G279" s="62">
        <v>23951.7</v>
      </c>
      <c r="H279" s="63">
        <f t="shared" si="9"/>
        <v>1.5440381558028626E-2</v>
      </c>
    </row>
    <row r="280" spans="2:8" x14ac:dyDescent="0.3">
      <c r="B280" s="60">
        <v>45644</v>
      </c>
      <c r="C280" s="62">
        <v>2445.3000000000002</v>
      </c>
      <c r="D280" s="63">
        <f t="shared" si="8"/>
        <v>-4.0795512493625674E-2</v>
      </c>
      <c r="F280" s="60">
        <v>45644</v>
      </c>
      <c r="G280" s="62">
        <v>24198.85</v>
      </c>
      <c r="H280" s="63">
        <f t="shared" si="9"/>
        <v>1.0318683016236729E-2</v>
      </c>
    </row>
    <row r="281" spans="2:8" x14ac:dyDescent="0.3">
      <c r="B281" s="60">
        <v>45643</v>
      </c>
      <c r="C281" s="62">
        <v>2444.4</v>
      </c>
      <c r="D281" s="63">
        <f t="shared" si="8"/>
        <v>-3.6805299963194038E-4</v>
      </c>
      <c r="F281" s="60">
        <v>45643</v>
      </c>
      <c r="G281" s="62">
        <v>24336</v>
      </c>
      <c r="H281" s="63">
        <f t="shared" si="9"/>
        <v>5.6676247011737679E-3</v>
      </c>
    </row>
    <row r="282" spans="2:8" x14ac:dyDescent="0.3">
      <c r="B282" s="60">
        <v>45642</v>
      </c>
      <c r="C282" s="62">
        <v>2458.15</v>
      </c>
      <c r="D282" s="63">
        <f t="shared" si="8"/>
        <v>5.6251022745867907E-3</v>
      </c>
      <c r="F282" s="60">
        <v>45642</v>
      </c>
      <c r="G282" s="62">
        <v>24668.25</v>
      </c>
      <c r="H282" s="63">
        <f t="shared" si="9"/>
        <v>1.3652613412228787E-2</v>
      </c>
    </row>
    <row r="283" spans="2:8" x14ac:dyDescent="0.3">
      <c r="B283" s="60">
        <v>45639</v>
      </c>
      <c r="C283" s="62">
        <v>2513.5500000000002</v>
      </c>
      <c r="D283" s="63">
        <f t="shared" si="8"/>
        <v>2.2537273966194205E-2</v>
      </c>
      <c r="F283" s="60">
        <v>45639</v>
      </c>
      <c r="G283" s="62">
        <v>24768.3</v>
      </c>
      <c r="H283" s="63">
        <f t="shared" si="9"/>
        <v>4.0558207412362268E-3</v>
      </c>
    </row>
    <row r="284" spans="2:8" x14ac:dyDescent="0.3">
      <c r="B284" s="60">
        <v>45638</v>
      </c>
      <c r="C284" s="62">
        <v>2512.9499999999998</v>
      </c>
      <c r="D284" s="63">
        <f t="shared" si="8"/>
        <v>-2.3870621232935374E-4</v>
      </c>
      <c r="F284" s="60">
        <v>45638</v>
      </c>
      <c r="G284" s="62">
        <v>24548.7</v>
      </c>
      <c r="H284" s="63">
        <f t="shared" si="9"/>
        <v>-8.8661716791220702E-3</v>
      </c>
    </row>
    <row r="285" spans="2:8" x14ac:dyDescent="0.3">
      <c r="B285" s="60">
        <v>45637</v>
      </c>
      <c r="C285" s="62">
        <v>2498.85</v>
      </c>
      <c r="D285" s="63">
        <f t="shared" si="8"/>
        <v>-5.6109353548617902E-3</v>
      </c>
      <c r="F285" s="60">
        <v>45637</v>
      </c>
      <c r="G285" s="62">
        <v>24641.8</v>
      </c>
      <c r="H285" s="63">
        <f t="shared" si="9"/>
        <v>3.7924615152735708E-3</v>
      </c>
    </row>
    <row r="286" spans="2:8" x14ac:dyDescent="0.3">
      <c r="B286" s="60">
        <v>45636</v>
      </c>
      <c r="C286" s="62">
        <v>2555.5500000000002</v>
      </c>
      <c r="D286" s="63">
        <f t="shared" si="8"/>
        <v>2.2690437601296631E-2</v>
      </c>
      <c r="F286" s="60">
        <v>45636</v>
      </c>
      <c r="G286" s="62">
        <v>24610.05</v>
      </c>
      <c r="H286" s="63">
        <f t="shared" si="9"/>
        <v>-1.2884610702140753E-3</v>
      </c>
    </row>
    <row r="287" spans="2:8" x14ac:dyDescent="0.3">
      <c r="B287" s="60">
        <v>45635</v>
      </c>
      <c r="C287" s="62">
        <v>2467</v>
      </c>
      <c r="D287" s="63">
        <f t="shared" si="8"/>
        <v>-3.4650075326250751E-2</v>
      </c>
      <c r="F287" s="60">
        <v>45635</v>
      </c>
      <c r="G287" s="62">
        <v>24619</v>
      </c>
      <c r="H287" s="63">
        <f t="shared" si="9"/>
        <v>3.6367256466363074E-4</v>
      </c>
    </row>
    <row r="288" spans="2:8" x14ac:dyDescent="0.3">
      <c r="B288" s="60">
        <v>45632</v>
      </c>
      <c r="C288" s="62">
        <v>2493.65</v>
      </c>
      <c r="D288" s="63">
        <f t="shared" si="8"/>
        <v>1.080259424402108E-2</v>
      </c>
      <c r="F288" s="60">
        <v>45632</v>
      </c>
      <c r="G288" s="62">
        <v>24677.8</v>
      </c>
      <c r="H288" s="63">
        <f t="shared" si="9"/>
        <v>2.3883992038669088E-3</v>
      </c>
    </row>
    <row r="289" spans="2:8" x14ac:dyDescent="0.3">
      <c r="B289" s="60">
        <v>45631</v>
      </c>
      <c r="C289" s="62">
        <v>2473</v>
      </c>
      <c r="D289" s="63">
        <f t="shared" si="8"/>
        <v>-8.2810338259178273E-3</v>
      </c>
      <c r="F289" s="60">
        <v>45631</v>
      </c>
      <c r="G289" s="62">
        <v>24708.400000000001</v>
      </c>
      <c r="H289" s="63">
        <f t="shared" si="9"/>
        <v>1.239980873497748E-3</v>
      </c>
    </row>
    <row r="290" spans="2:8" x14ac:dyDescent="0.3">
      <c r="B290" s="60">
        <v>45630</v>
      </c>
      <c r="C290" s="62">
        <v>2593.25</v>
      </c>
      <c r="D290" s="63">
        <f t="shared" si="8"/>
        <v>4.8625151637686992E-2</v>
      </c>
      <c r="F290" s="60">
        <v>45630</v>
      </c>
      <c r="G290" s="62">
        <v>24467.45</v>
      </c>
      <c r="H290" s="63">
        <f t="shared" si="9"/>
        <v>-9.7517443460524156E-3</v>
      </c>
    </row>
    <row r="291" spans="2:8" x14ac:dyDescent="0.3">
      <c r="B291" s="60">
        <v>45629</v>
      </c>
      <c r="C291" s="62">
        <v>2603.25</v>
      </c>
      <c r="D291" s="63">
        <f t="shared" si="8"/>
        <v>3.8561650438637685E-3</v>
      </c>
      <c r="F291" s="60">
        <v>45629</v>
      </c>
      <c r="G291" s="62">
        <v>24457.15</v>
      </c>
      <c r="H291" s="63">
        <f t="shared" si="9"/>
        <v>-4.2096744858988178E-4</v>
      </c>
    </row>
    <row r="292" spans="2:8" x14ac:dyDescent="0.3">
      <c r="B292" s="60">
        <v>45628</v>
      </c>
      <c r="C292" s="62">
        <v>2549.85</v>
      </c>
      <c r="D292" s="63">
        <f t="shared" si="8"/>
        <v>-2.0512820512820551E-2</v>
      </c>
      <c r="F292" s="60">
        <v>45628</v>
      </c>
      <c r="G292" s="62">
        <v>24276.05</v>
      </c>
      <c r="H292" s="63">
        <f t="shared" si="9"/>
        <v>-7.4047875570130151E-3</v>
      </c>
    </row>
    <row r="293" spans="2:8" x14ac:dyDescent="0.3">
      <c r="B293" s="60">
        <v>45625</v>
      </c>
      <c r="C293" s="62">
        <v>2524.6999999999998</v>
      </c>
      <c r="D293" s="63">
        <f t="shared" si="8"/>
        <v>-9.8633252936447535E-3</v>
      </c>
      <c r="F293" s="60">
        <v>45625</v>
      </c>
      <c r="G293" s="62">
        <v>24131.1</v>
      </c>
      <c r="H293" s="63">
        <f t="shared" si="9"/>
        <v>-5.9709054809163886E-3</v>
      </c>
    </row>
    <row r="294" spans="2:8" x14ac:dyDescent="0.3">
      <c r="B294" s="60">
        <v>45624</v>
      </c>
      <c r="C294" s="62">
        <v>2482.1999999999998</v>
      </c>
      <c r="D294" s="63">
        <f t="shared" si="8"/>
        <v>-1.6833683209886319E-2</v>
      </c>
      <c r="F294" s="60">
        <v>45624</v>
      </c>
      <c r="G294" s="62">
        <v>23914.15</v>
      </c>
      <c r="H294" s="63">
        <f t="shared" si="9"/>
        <v>-8.9904728752521201E-3</v>
      </c>
    </row>
    <row r="295" spans="2:8" x14ac:dyDescent="0.3">
      <c r="B295" s="60">
        <v>45623</v>
      </c>
      <c r="C295" s="62">
        <v>2500.3000000000002</v>
      </c>
      <c r="D295" s="63">
        <f t="shared" si="8"/>
        <v>7.2919184594313347E-3</v>
      </c>
      <c r="F295" s="60">
        <v>45623</v>
      </c>
      <c r="G295" s="62">
        <v>24274.9</v>
      </c>
      <c r="H295" s="63">
        <f t="shared" si="9"/>
        <v>1.5085211057052073E-2</v>
      </c>
    </row>
    <row r="296" spans="2:8" x14ac:dyDescent="0.3">
      <c r="B296" s="60">
        <v>45622</v>
      </c>
      <c r="C296" s="62">
        <v>2568.35</v>
      </c>
      <c r="D296" s="63">
        <f t="shared" si="8"/>
        <v>2.7216733991920927E-2</v>
      </c>
      <c r="F296" s="60">
        <v>45622</v>
      </c>
      <c r="G296" s="62">
        <v>24194.5</v>
      </c>
      <c r="H296" s="63">
        <f t="shared" si="9"/>
        <v>-3.3120630774998716E-3</v>
      </c>
    </row>
    <row r="297" spans="2:8" x14ac:dyDescent="0.3">
      <c r="B297" s="60">
        <v>45621</v>
      </c>
      <c r="C297" s="62">
        <v>2448.85</v>
      </c>
      <c r="D297" s="63">
        <f t="shared" si="8"/>
        <v>-4.6527926489769666E-2</v>
      </c>
      <c r="F297" s="60">
        <v>45621</v>
      </c>
      <c r="G297" s="62">
        <v>24221.9</v>
      </c>
      <c r="H297" s="63">
        <f t="shared" si="9"/>
        <v>1.1324887887744772E-3</v>
      </c>
    </row>
    <row r="298" spans="2:8" x14ac:dyDescent="0.3">
      <c r="B298" s="60">
        <v>45618</v>
      </c>
      <c r="C298" s="62">
        <v>2363.75</v>
      </c>
      <c r="D298" s="63">
        <f t="shared" si="8"/>
        <v>-3.4751005574044869E-2</v>
      </c>
      <c r="F298" s="60">
        <v>45618</v>
      </c>
      <c r="G298" s="62">
        <v>23907.25</v>
      </c>
      <c r="H298" s="63">
        <f t="shared" si="9"/>
        <v>-1.2990310421560736E-2</v>
      </c>
    </row>
    <row r="299" spans="2:8" x14ac:dyDescent="0.3">
      <c r="B299" s="60">
        <v>45617</v>
      </c>
      <c r="C299" s="62">
        <v>2260.5</v>
      </c>
      <c r="D299" s="63">
        <f t="shared" si="8"/>
        <v>-4.368059227921739E-2</v>
      </c>
      <c r="F299" s="60">
        <v>45617</v>
      </c>
      <c r="G299" s="62">
        <v>23349.9</v>
      </c>
      <c r="H299" s="63">
        <f t="shared" si="9"/>
        <v>-2.3313011743299583E-2</v>
      </c>
    </row>
    <row r="300" spans="2:8" x14ac:dyDescent="0.3">
      <c r="B300" s="60">
        <v>45615</v>
      </c>
      <c r="C300" s="62">
        <v>2253.3000000000002</v>
      </c>
      <c r="D300" s="63">
        <f t="shared" si="8"/>
        <v>-3.1851360318513322E-3</v>
      </c>
      <c r="F300" s="60">
        <v>45615</v>
      </c>
      <c r="G300" s="62">
        <v>23518.5</v>
      </c>
      <c r="H300" s="63">
        <f t="shared" si="9"/>
        <v>7.220587668469669E-3</v>
      </c>
    </row>
    <row r="301" spans="2:8" x14ac:dyDescent="0.3">
      <c r="B301" s="60">
        <v>45614</v>
      </c>
      <c r="C301" s="62">
        <v>2248.75</v>
      </c>
      <c r="D301" s="63">
        <f t="shared" si="8"/>
        <v>-2.0192606399503932E-3</v>
      </c>
      <c r="F301" s="60">
        <v>45614</v>
      </c>
      <c r="G301" s="62">
        <v>23453.8</v>
      </c>
      <c r="H301" s="63">
        <f t="shared" si="9"/>
        <v>-2.7510257882092937E-3</v>
      </c>
    </row>
    <row r="302" spans="2:8" x14ac:dyDescent="0.3">
      <c r="B302" s="60">
        <v>45610</v>
      </c>
      <c r="C302" s="62">
        <v>2230.15</v>
      </c>
      <c r="D302" s="63">
        <f t="shared" si="8"/>
        <v>-8.2712618121177917E-3</v>
      </c>
      <c r="F302" s="60">
        <v>45610</v>
      </c>
      <c r="G302" s="62">
        <v>23532.7</v>
      </c>
      <c r="H302" s="63">
        <f t="shared" si="9"/>
        <v>3.3640604081215386E-3</v>
      </c>
    </row>
    <row r="303" spans="2:8" x14ac:dyDescent="0.3">
      <c r="B303" s="60">
        <v>45609</v>
      </c>
      <c r="C303" s="62">
        <v>2167.8000000000002</v>
      </c>
      <c r="D303" s="63">
        <f t="shared" si="8"/>
        <v>-2.7957760688742894E-2</v>
      </c>
      <c r="F303" s="60">
        <v>45609</v>
      </c>
      <c r="G303" s="62">
        <v>23559.05</v>
      </c>
      <c r="H303" s="63">
        <f t="shared" si="9"/>
        <v>1.1197185193367876E-3</v>
      </c>
    </row>
    <row r="304" spans="2:8" x14ac:dyDescent="0.3">
      <c r="B304" s="60">
        <v>45608</v>
      </c>
      <c r="C304" s="62">
        <v>2248.4</v>
      </c>
      <c r="D304" s="63">
        <f t="shared" si="8"/>
        <v>3.7180551711412546E-2</v>
      </c>
      <c r="F304" s="60">
        <v>45608</v>
      </c>
      <c r="G304" s="62">
        <v>23883.45</v>
      </c>
      <c r="H304" s="63">
        <f t="shared" si="9"/>
        <v>1.3769655397819491E-2</v>
      </c>
    </row>
    <row r="305" spans="2:8" x14ac:dyDescent="0.3">
      <c r="B305" s="60">
        <v>45607</v>
      </c>
      <c r="C305" s="62">
        <v>2255.25</v>
      </c>
      <c r="D305" s="63">
        <f t="shared" si="8"/>
        <v>3.0466109233231453E-3</v>
      </c>
      <c r="F305" s="60">
        <v>45607</v>
      </c>
      <c r="G305" s="62">
        <v>24141.3</v>
      </c>
      <c r="H305" s="63">
        <f t="shared" si="9"/>
        <v>1.0796178943996759E-2</v>
      </c>
    </row>
    <row r="306" spans="2:8" x14ac:dyDescent="0.3">
      <c r="B306" s="60">
        <v>45604</v>
      </c>
      <c r="C306" s="62">
        <v>2206.6</v>
      </c>
      <c r="D306" s="63">
        <f t="shared" si="8"/>
        <v>-2.1571887817315227E-2</v>
      </c>
      <c r="F306" s="60">
        <v>45604</v>
      </c>
      <c r="G306" s="62">
        <v>24148.2</v>
      </c>
      <c r="H306" s="63">
        <f t="shared" si="9"/>
        <v>2.8581725093523858E-4</v>
      </c>
    </row>
    <row r="307" spans="2:8" x14ac:dyDescent="0.3">
      <c r="B307" s="60">
        <v>45603</v>
      </c>
      <c r="C307" s="62">
        <v>2252.4</v>
      </c>
      <c r="D307" s="63">
        <f t="shared" si="8"/>
        <v>2.0755914075954118E-2</v>
      </c>
      <c r="F307" s="60">
        <v>45603</v>
      </c>
      <c r="G307" s="62">
        <v>24199.35</v>
      </c>
      <c r="H307" s="63">
        <f t="shared" si="9"/>
        <v>2.1181702984072182E-3</v>
      </c>
    </row>
    <row r="308" spans="2:8" x14ac:dyDescent="0.3">
      <c r="B308" s="60">
        <v>45602</v>
      </c>
      <c r="C308" s="62">
        <v>2334.15</v>
      </c>
      <c r="D308" s="63">
        <f t="shared" si="8"/>
        <v>3.6294619072988921E-2</v>
      </c>
      <c r="F308" s="60">
        <v>45602</v>
      </c>
      <c r="G308" s="62">
        <v>24484.05</v>
      </c>
      <c r="H308" s="63">
        <f t="shared" si="9"/>
        <v>1.1764778806042431E-2</v>
      </c>
    </row>
    <row r="309" spans="2:8" x14ac:dyDescent="0.3">
      <c r="B309" s="60">
        <v>45601</v>
      </c>
      <c r="C309" s="62">
        <v>2356.8000000000002</v>
      </c>
      <c r="D309" s="63">
        <f t="shared" si="8"/>
        <v>9.7037465458518213E-3</v>
      </c>
      <c r="F309" s="60">
        <v>45601</v>
      </c>
      <c r="G309" s="62">
        <v>24213.3</v>
      </c>
      <c r="H309" s="63">
        <f t="shared" si="9"/>
        <v>-1.1058219534758384E-2</v>
      </c>
    </row>
    <row r="310" spans="2:8" x14ac:dyDescent="0.3">
      <c r="B310" s="60">
        <v>45600</v>
      </c>
      <c r="C310" s="62">
        <v>2299.0500000000002</v>
      </c>
      <c r="D310" s="63">
        <f t="shared" si="8"/>
        <v>-2.4503564154786162E-2</v>
      </c>
      <c r="F310" s="60">
        <v>45600</v>
      </c>
      <c r="G310" s="62">
        <v>23995.35</v>
      </c>
      <c r="H310" s="63">
        <f t="shared" si="9"/>
        <v>-9.0012513783747083E-3</v>
      </c>
    </row>
    <row r="311" spans="2:8" x14ac:dyDescent="0.3">
      <c r="B311" s="60">
        <v>45597</v>
      </c>
      <c r="C311" s="62">
        <v>2334.9499999999998</v>
      </c>
      <c r="D311" s="63">
        <f t="shared" si="8"/>
        <v>1.5615145386137508E-2</v>
      </c>
      <c r="F311" s="60">
        <v>45597</v>
      </c>
      <c r="G311" s="62">
        <v>24304.35</v>
      </c>
      <c r="H311" s="63">
        <f t="shared" si="9"/>
        <v>1.2877495014659068E-2</v>
      </c>
    </row>
    <row r="312" spans="2:8" x14ac:dyDescent="0.3">
      <c r="B312" s="60">
        <v>45596</v>
      </c>
      <c r="C312" s="62">
        <v>2280.1999999999998</v>
      </c>
      <c r="D312" s="63">
        <f t="shared" si="8"/>
        <v>-2.3448039572581902E-2</v>
      </c>
      <c r="F312" s="60">
        <v>45596</v>
      </c>
      <c r="G312" s="62">
        <v>24205.35</v>
      </c>
      <c r="H312" s="63">
        <f t="shared" si="9"/>
        <v>-4.0733448950496243E-3</v>
      </c>
    </row>
    <row r="313" spans="2:8" x14ac:dyDescent="0.3">
      <c r="B313" s="60">
        <v>45595</v>
      </c>
      <c r="C313" s="62">
        <v>2246.5500000000002</v>
      </c>
      <c r="D313" s="63">
        <f t="shared" si="8"/>
        <v>-1.4757477414261699E-2</v>
      </c>
      <c r="F313" s="60">
        <v>45595</v>
      </c>
      <c r="G313" s="62">
        <v>24340.85</v>
      </c>
      <c r="H313" s="63">
        <f t="shared" si="9"/>
        <v>5.5979359934890116E-3</v>
      </c>
    </row>
    <row r="314" spans="2:8" x14ac:dyDescent="0.3">
      <c r="B314" s="60">
        <v>45594</v>
      </c>
      <c r="C314" s="62">
        <v>2232.8000000000002</v>
      </c>
      <c r="D314" s="63">
        <f t="shared" si="8"/>
        <v>-6.1204958714473623E-3</v>
      </c>
      <c r="F314" s="60">
        <v>45594</v>
      </c>
      <c r="G314" s="62">
        <v>24466.85</v>
      </c>
      <c r="H314" s="63">
        <f t="shared" si="9"/>
        <v>5.1764831548610779E-3</v>
      </c>
    </row>
    <row r="315" spans="2:8" x14ac:dyDescent="0.3">
      <c r="B315" s="60">
        <v>45593</v>
      </c>
      <c r="C315" s="62">
        <v>2241.6999999999998</v>
      </c>
      <c r="D315" s="63">
        <f t="shared" si="8"/>
        <v>3.9860265137940942E-3</v>
      </c>
      <c r="F315" s="60">
        <v>45593</v>
      </c>
      <c r="G315" s="62">
        <v>24339.15</v>
      </c>
      <c r="H315" s="63">
        <f t="shared" si="9"/>
        <v>-5.2193069397979963E-3</v>
      </c>
    </row>
    <row r="316" spans="2:8" x14ac:dyDescent="0.3">
      <c r="B316" s="60">
        <v>45590</v>
      </c>
      <c r="C316" s="62">
        <v>2196.1999999999998</v>
      </c>
      <c r="D316" s="63">
        <f t="shared" si="8"/>
        <v>-2.0297095953963562E-2</v>
      </c>
      <c r="F316" s="60">
        <v>45590</v>
      </c>
      <c r="G316" s="62">
        <v>24180.799999999999</v>
      </c>
      <c r="H316" s="63">
        <f t="shared" si="9"/>
        <v>-6.5059790502134396E-3</v>
      </c>
    </row>
    <row r="317" spans="2:8" x14ac:dyDescent="0.3">
      <c r="B317" s="60">
        <v>45589</v>
      </c>
      <c r="C317" s="62">
        <v>2212.3000000000002</v>
      </c>
      <c r="D317" s="63">
        <f t="shared" si="8"/>
        <v>7.3308441854114115E-3</v>
      </c>
      <c r="F317" s="60">
        <v>45589</v>
      </c>
      <c r="G317" s="62">
        <v>24399.4</v>
      </c>
      <c r="H317" s="63">
        <f t="shared" si="9"/>
        <v>9.0402302653345146E-3</v>
      </c>
    </row>
    <row r="318" spans="2:8" x14ac:dyDescent="0.3">
      <c r="B318" s="60">
        <v>45588</v>
      </c>
      <c r="C318" s="62">
        <v>2242.0500000000002</v>
      </c>
      <c r="D318" s="63">
        <f t="shared" si="8"/>
        <v>1.3447543280748597E-2</v>
      </c>
      <c r="F318" s="60">
        <v>45588</v>
      </c>
      <c r="G318" s="62">
        <v>24435.5</v>
      </c>
      <c r="H318" s="63">
        <f t="shared" si="9"/>
        <v>1.4795445789650419E-3</v>
      </c>
    </row>
    <row r="319" spans="2:8" x14ac:dyDescent="0.3">
      <c r="B319" s="60">
        <v>45587</v>
      </c>
      <c r="C319" s="62">
        <v>2180.4499999999998</v>
      </c>
      <c r="D319" s="63">
        <f t="shared" si="8"/>
        <v>-2.7474855600901127E-2</v>
      </c>
      <c r="F319" s="60">
        <v>45587</v>
      </c>
      <c r="G319" s="62">
        <v>24472.1</v>
      </c>
      <c r="H319" s="63">
        <f t="shared" si="9"/>
        <v>1.497820793517679E-3</v>
      </c>
    </row>
    <row r="320" spans="2:8" x14ac:dyDescent="0.3">
      <c r="B320" s="60">
        <v>45586</v>
      </c>
      <c r="C320" s="62">
        <v>2307.25</v>
      </c>
      <c r="D320" s="63">
        <f t="shared" si="8"/>
        <v>5.815313352748297E-2</v>
      </c>
      <c r="F320" s="60">
        <v>45586</v>
      </c>
      <c r="G320" s="62">
        <v>24781.1</v>
      </c>
      <c r="H320" s="63">
        <f t="shared" si="9"/>
        <v>1.2626623787905356E-2</v>
      </c>
    </row>
    <row r="321" spans="2:8" x14ac:dyDescent="0.3">
      <c r="B321" s="60">
        <v>45583</v>
      </c>
      <c r="C321" s="62">
        <v>2360.4499999999998</v>
      </c>
      <c r="D321" s="63">
        <f t="shared" si="8"/>
        <v>2.3057752735941017E-2</v>
      </c>
      <c r="F321" s="60">
        <v>45583</v>
      </c>
      <c r="G321" s="62">
        <v>24854.05</v>
      </c>
      <c r="H321" s="63">
        <f t="shared" si="9"/>
        <v>2.9437757000294607E-3</v>
      </c>
    </row>
    <row r="322" spans="2:8" x14ac:dyDescent="0.3">
      <c r="B322" s="60">
        <v>45582</v>
      </c>
      <c r="C322" s="62">
        <v>2662.95</v>
      </c>
      <c r="D322" s="63">
        <f t="shared" si="8"/>
        <v>0.12815353004723673</v>
      </c>
      <c r="F322" s="60">
        <v>45582</v>
      </c>
      <c r="G322" s="62">
        <v>24749.85</v>
      </c>
      <c r="H322" s="63">
        <f t="shared" si="9"/>
        <v>-4.1924756729788681E-3</v>
      </c>
    </row>
    <row r="323" spans="2:8" x14ac:dyDescent="0.3">
      <c r="B323" s="60">
        <v>45581</v>
      </c>
      <c r="C323" s="62">
        <v>2626.3</v>
      </c>
      <c r="D323" s="63">
        <f t="shared" si="8"/>
        <v>-1.3762932086595514E-2</v>
      </c>
      <c r="F323" s="60">
        <v>45581</v>
      </c>
      <c r="G323" s="62">
        <v>24971.3</v>
      </c>
      <c r="H323" s="63">
        <f t="shared" si="9"/>
        <v>8.9475289749230136E-3</v>
      </c>
    </row>
    <row r="324" spans="2:8" x14ac:dyDescent="0.3">
      <c r="B324" s="60">
        <v>45580</v>
      </c>
      <c r="C324" s="62">
        <v>2264.65</v>
      </c>
      <c r="D324" s="63">
        <f t="shared" si="8"/>
        <v>-0.1377032326847657</v>
      </c>
      <c r="F324" s="60">
        <v>45580</v>
      </c>
      <c r="G324" s="62">
        <v>25057.35</v>
      </c>
      <c r="H324" s="63">
        <f t="shared" si="9"/>
        <v>3.4459559574391285E-3</v>
      </c>
    </row>
    <row r="325" spans="2:8" x14ac:dyDescent="0.3">
      <c r="B325" s="60">
        <v>45579</v>
      </c>
      <c r="C325" s="62">
        <v>2293.35</v>
      </c>
      <c r="D325" s="63">
        <f t="shared" si="8"/>
        <v>1.2673039984103518E-2</v>
      </c>
      <c r="F325" s="60">
        <v>45579</v>
      </c>
      <c r="G325" s="62">
        <v>25127.95</v>
      </c>
      <c r="H325" s="63">
        <f t="shared" si="9"/>
        <v>2.8175365711060607E-3</v>
      </c>
    </row>
    <row r="326" spans="2:8" x14ac:dyDescent="0.3">
      <c r="B326" s="60">
        <v>45576</v>
      </c>
      <c r="C326" s="62">
        <v>2332.1999999999998</v>
      </c>
      <c r="D326" s="63">
        <f t="shared" si="8"/>
        <v>1.6940283864216088E-2</v>
      </c>
      <c r="F326" s="60">
        <v>45576</v>
      </c>
      <c r="G326" s="62">
        <v>24964.25</v>
      </c>
      <c r="H326" s="63">
        <f t="shared" si="9"/>
        <v>-6.514657980456029E-3</v>
      </c>
    </row>
    <row r="327" spans="2:8" x14ac:dyDescent="0.3">
      <c r="B327" s="60">
        <v>45575</v>
      </c>
      <c r="C327" s="62">
        <v>2295.3000000000002</v>
      </c>
      <c r="D327" s="63">
        <f t="shared" si="8"/>
        <v>-1.5821970671468844E-2</v>
      </c>
      <c r="F327" s="60">
        <v>45575</v>
      </c>
      <c r="G327" s="62">
        <v>24998.45</v>
      </c>
      <c r="H327" s="63">
        <f t="shared" si="9"/>
        <v>1.3699590414293361E-3</v>
      </c>
    </row>
    <row r="328" spans="2:8" x14ac:dyDescent="0.3">
      <c r="B328" s="60">
        <v>45574</v>
      </c>
      <c r="C328" s="62">
        <v>2190.8000000000002</v>
      </c>
      <c r="D328" s="63">
        <f t="shared" si="8"/>
        <v>-4.5527817714460017E-2</v>
      </c>
      <c r="F328" s="60">
        <v>45574</v>
      </c>
      <c r="G328" s="62">
        <v>24981.95</v>
      </c>
      <c r="H328" s="63">
        <f t="shared" si="9"/>
        <v>-6.6004092253724167E-4</v>
      </c>
    </row>
    <row r="329" spans="2:8" x14ac:dyDescent="0.3">
      <c r="B329" s="60">
        <v>45573</v>
      </c>
      <c r="C329" s="62">
        <v>2157.8000000000002</v>
      </c>
      <c r="D329" s="63">
        <f t="shared" ref="D329:D392" si="10">C329/C328-1</f>
        <v>-1.5062990688333056E-2</v>
      </c>
      <c r="F329" s="60">
        <v>45573</v>
      </c>
      <c r="G329" s="62">
        <v>25013.15</v>
      </c>
      <c r="H329" s="63">
        <f t="shared" ref="H329:H392" si="11">G329/G328-1</f>
        <v>1.2489017070325126E-3</v>
      </c>
    </row>
    <row r="330" spans="2:8" x14ac:dyDescent="0.3">
      <c r="B330" s="60">
        <v>45572</v>
      </c>
      <c r="C330" s="62">
        <v>2091.0500000000002</v>
      </c>
      <c r="D330" s="63">
        <f t="shared" si="10"/>
        <v>-3.093428491982575E-2</v>
      </c>
      <c r="F330" s="60">
        <v>45572</v>
      </c>
      <c r="G330" s="62">
        <v>24795.75</v>
      </c>
      <c r="H330" s="63">
        <f t="shared" si="11"/>
        <v>-8.6914283087097255E-3</v>
      </c>
    </row>
    <row r="331" spans="2:8" x14ac:dyDescent="0.3">
      <c r="B331" s="60">
        <v>45569</v>
      </c>
      <c r="C331" s="62">
        <v>2148.3000000000002</v>
      </c>
      <c r="D331" s="63">
        <f t="shared" si="10"/>
        <v>2.7378589703737299E-2</v>
      </c>
      <c r="F331" s="60">
        <v>45569</v>
      </c>
      <c r="G331" s="62">
        <v>25014.6</v>
      </c>
      <c r="H331" s="63">
        <f t="shared" si="11"/>
        <v>8.8261093130879154E-3</v>
      </c>
    </row>
    <row r="332" spans="2:8" x14ac:dyDescent="0.3">
      <c r="B332" s="60">
        <v>45568</v>
      </c>
      <c r="C332" s="62">
        <v>2087.8000000000002</v>
      </c>
      <c r="D332" s="63">
        <f t="shared" si="10"/>
        <v>-2.8161802355350707E-2</v>
      </c>
      <c r="F332" s="60">
        <v>45568</v>
      </c>
      <c r="G332" s="62">
        <v>25250.1</v>
      </c>
      <c r="H332" s="63">
        <f t="shared" si="11"/>
        <v>9.4145019308724542E-3</v>
      </c>
    </row>
    <row r="333" spans="2:8" x14ac:dyDescent="0.3">
      <c r="B333" s="60">
        <v>45566</v>
      </c>
      <c r="C333" s="62">
        <v>2113.4</v>
      </c>
      <c r="D333" s="63">
        <f t="shared" si="10"/>
        <v>1.226171089184791E-2</v>
      </c>
      <c r="F333" s="60">
        <v>45566</v>
      </c>
      <c r="G333" s="62">
        <v>25796.9</v>
      </c>
      <c r="H333" s="63">
        <f t="shared" si="11"/>
        <v>2.1655359780753392E-2</v>
      </c>
    </row>
    <row r="334" spans="2:8" x14ac:dyDescent="0.3">
      <c r="B334" s="60">
        <v>45565</v>
      </c>
      <c r="C334" s="62">
        <v>2038.05</v>
      </c>
      <c r="D334" s="63">
        <f t="shared" si="10"/>
        <v>-3.5653449417999528E-2</v>
      </c>
      <c r="F334" s="60">
        <v>45565</v>
      </c>
      <c r="G334" s="62">
        <v>25810.85</v>
      </c>
      <c r="H334" s="63">
        <f t="shared" si="11"/>
        <v>5.4076264977553912E-4</v>
      </c>
    </row>
    <row r="335" spans="2:8" x14ac:dyDescent="0.3">
      <c r="B335" s="60">
        <v>45562</v>
      </c>
      <c r="C335" s="62">
        <v>2028.5</v>
      </c>
      <c r="D335" s="63">
        <f t="shared" si="10"/>
        <v>-4.6858516719412435E-3</v>
      </c>
      <c r="F335" s="60">
        <v>45562</v>
      </c>
      <c r="G335" s="62">
        <v>26178.95</v>
      </c>
      <c r="H335" s="63">
        <f t="shared" si="11"/>
        <v>1.4261444315084582E-2</v>
      </c>
    </row>
    <row r="336" spans="2:8" x14ac:dyDescent="0.3">
      <c r="B336" s="60">
        <v>45561</v>
      </c>
      <c r="C336" s="62">
        <v>1986.2</v>
      </c>
      <c r="D336" s="63">
        <f t="shared" si="10"/>
        <v>-2.0852846931229907E-2</v>
      </c>
      <c r="F336" s="60">
        <v>45561</v>
      </c>
      <c r="G336" s="62">
        <v>26216.05</v>
      </c>
      <c r="H336" s="63">
        <f t="shared" si="11"/>
        <v>1.4171691377995455E-3</v>
      </c>
    </row>
    <row r="337" spans="2:8" x14ac:dyDescent="0.3">
      <c r="B337" s="60">
        <v>45560</v>
      </c>
      <c r="C337" s="62">
        <v>1964</v>
      </c>
      <c r="D337" s="63">
        <f t="shared" si="10"/>
        <v>-1.1177122142785212E-2</v>
      </c>
      <c r="F337" s="60">
        <v>45560</v>
      </c>
      <c r="G337" s="62">
        <v>26004.15</v>
      </c>
      <c r="H337" s="63">
        <f t="shared" si="11"/>
        <v>-8.0828347519934507E-3</v>
      </c>
    </row>
    <row r="338" spans="2:8" x14ac:dyDescent="0.3">
      <c r="B338" s="60">
        <v>45559</v>
      </c>
      <c r="C338" s="62">
        <v>1974.05</v>
      </c>
      <c r="D338" s="63">
        <f t="shared" si="10"/>
        <v>5.1171079429734867E-3</v>
      </c>
      <c r="F338" s="60">
        <v>45559</v>
      </c>
      <c r="G338" s="62">
        <v>25940.400000000001</v>
      </c>
      <c r="H338" s="63">
        <f t="shared" si="11"/>
        <v>-2.4515317747360044E-3</v>
      </c>
    </row>
    <row r="339" spans="2:8" x14ac:dyDescent="0.3">
      <c r="B339" s="60">
        <v>45558</v>
      </c>
      <c r="C339" s="62">
        <v>2004.2</v>
      </c>
      <c r="D339" s="63">
        <f t="shared" si="10"/>
        <v>1.5273169372609585E-2</v>
      </c>
      <c r="F339" s="60">
        <v>45558</v>
      </c>
      <c r="G339" s="62">
        <v>25939.05</v>
      </c>
      <c r="H339" s="63">
        <f t="shared" si="11"/>
        <v>-5.2042374057537089E-5</v>
      </c>
    </row>
    <row r="340" spans="2:8" x14ac:dyDescent="0.3">
      <c r="B340" s="60">
        <v>45555</v>
      </c>
      <c r="C340" s="62">
        <v>2021.45</v>
      </c>
      <c r="D340" s="63">
        <f t="shared" si="10"/>
        <v>8.6069254565412923E-3</v>
      </c>
      <c r="F340" s="60">
        <v>45555</v>
      </c>
      <c r="G340" s="62">
        <v>25790.95</v>
      </c>
      <c r="H340" s="63">
        <f t="shared" si="11"/>
        <v>-5.7095383215652884E-3</v>
      </c>
    </row>
    <row r="341" spans="2:8" x14ac:dyDescent="0.3">
      <c r="B341" s="60">
        <v>45554</v>
      </c>
      <c r="C341" s="62">
        <v>2006</v>
      </c>
      <c r="D341" s="63">
        <f t="shared" si="10"/>
        <v>-7.6430285191323444E-3</v>
      </c>
      <c r="F341" s="60">
        <v>45554</v>
      </c>
      <c r="G341" s="62">
        <v>25415.8</v>
      </c>
      <c r="H341" s="63">
        <f t="shared" si="11"/>
        <v>-1.4545799980225649E-2</v>
      </c>
    </row>
    <row r="342" spans="2:8" x14ac:dyDescent="0.3">
      <c r="B342" s="60">
        <v>45553</v>
      </c>
      <c r="C342" s="62">
        <v>2059.8000000000002</v>
      </c>
      <c r="D342" s="63">
        <f t="shared" si="10"/>
        <v>2.6819541375872502E-2</v>
      </c>
      <c r="F342" s="60">
        <v>45553</v>
      </c>
      <c r="G342" s="62">
        <v>25377.55</v>
      </c>
      <c r="H342" s="63">
        <f t="shared" si="11"/>
        <v>-1.5049693497745098E-3</v>
      </c>
    </row>
    <row r="343" spans="2:8" x14ac:dyDescent="0.3">
      <c r="B343" s="60">
        <v>45552</v>
      </c>
      <c r="C343" s="62">
        <v>2103.8000000000002</v>
      </c>
      <c r="D343" s="63">
        <f t="shared" si="10"/>
        <v>2.1361297213321695E-2</v>
      </c>
      <c r="F343" s="60">
        <v>45552</v>
      </c>
      <c r="G343" s="62">
        <v>25418.55</v>
      </c>
      <c r="H343" s="63">
        <f t="shared" si="11"/>
        <v>1.6156011908163848E-3</v>
      </c>
    </row>
    <row r="344" spans="2:8" x14ac:dyDescent="0.3">
      <c r="B344" s="60">
        <v>45551</v>
      </c>
      <c r="C344" s="62">
        <v>2127.0500000000002</v>
      </c>
      <c r="D344" s="63">
        <f t="shared" si="10"/>
        <v>1.105143074436743E-2</v>
      </c>
      <c r="F344" s="60">
        <v>45551</v>
      </c>
      <c r="G344" s="62">
        <v>25383.75</v>
      </c>
      <c r="H344" s="63">
        <f t="shared" si="11"/>
        <v>-1.3690788813680577E-3</v>
      </c>
    </row>
    <row r="345" spans="2:8" x14ac:dyDescent="0.3">
      <c r="B345" s="60">
        <v>45548</v>
      </c>
      <c r="C345" s="62">
        <v>2071.5</v>
      </c>
      <c r="D345" s="63">
        <f t="shared" si="10"/>
        <v>-2.6115982228908652E-2</v>
      </c>
      <c r="F345" s="60">
        <v>45548</v>
      </c>
      <c r="G345" s="62">
        <v>25356.5</v>
      </c>
      <c r="H345" s="63">
        <f t="shared" si="11"/>
        <v>-1.0735214458068576E-3</v>
      </c>
    </row>
    <row r="346" spans="2:8" x14ac:dyDescent="0.3">
      <c r="B346" s="60">
        <v>45547</v>
      </c>
      <c r="C346" s="62">
        <v>2106.35</v>
      </c>
      <c r="D346" s="63">
        <f t="shared" si="10"/>
        <v>1.6823557808351319E-2</v>
      </c>
      <c r="F346" s="60">
        <v>45547</v>
      </c>
      <c r="G346" s="62">
        <v>25388.9</v>
      </c>
      <c r="H346" s="63">
        <f t="shared" si="11"/>
        <v>1.277778873267188E-3</v>
      </c>
    </row>
    <row r="347" spans="2:8" x14ac:dyDescent="0.3">
      <c r="B347" s="60">
        <v>45546</v>
      </c>
      <c r="C347" s="62">
        <v>2081.85</v>
      </c>
      <c r="D347" s="63">
        <f t="shared" si="10"/>
        <v>-1.1631495240582046E-2</v>
      </c>
      <c r="F347" s="60">
        <v>45546</v>
      </c>
      <c r="G347" s="62">
        <v>24918.45</v>
      </c>
      <c r="H347" s="63">
        <f t="shared" si="11"/>
        <v>-1.8529751190480948E-2</v>
      </c>
    </row>
    <row r="348" spans="2:8" x14ac:dyDescent="0.3">
      <c r="B348" s="60">
        <v>45545</v>
      </c>
      <c r="C348" s="62">
        <v>2123.75</v>
      </c>
      <c r="D348" s="63">
        <f t="shared" si="10"/>
        <v>2.0126329946922317E-2</v>
      </c>
      <c r="F348" s="60">
        <v>45545</v>
      </c>
      <c r="G348" s="62">
        <v>25041.1</v>
      </c>
      <c r="H348" s="63">
        <f t="shared" si="11"/>
        <v>4.9220557458429237E-3</v>
      </c>
    </row>
    <row r="349" spans="2:8" x14ac:dyDescent="0.3">
      <c r="B349" s="60">
        <v>45544</v>
      </c>
      <c r="C349" s="62">
        <v>2166.8000000000002</v>
      </c>
      <c r="D349" s="63">
        <f t="shared" si="10"/>
        <v>2.0270747498528641E-2</v>
      </c>
      <c r="F349" s="60">
        <v>45544</v>
      </c>
      <c r="G349" s="62">
        <v>24936.400000000001</v>
      </c>
      <c r="H349" s="63">
        <f t="shared" si="11"/>
        <v>-4.1811262284802142E-3</v>
      </c>
    </row>
    <row r="350" spans="2:8" x14ac:dyDescent="0.3">
      <c r="B350" s="60">
        <v>45541</v>
      </c>
      <c r="C350" s="62">
        <v>2035.25</v>
      </c>
      <c r="D350" s="63">
        <f t="shared" si="10"/>
        <v>-6.0711648513937733E-2</v>
      </c>
      <c r="F350" s="60">
        <v>45541</v>
      </c>
      <c r="G350" s="62">
        <v>24852.15</v>
      </c>
      <c r="H350" s="63">
        <f t="shared" si="11"/>
        <v>-3.378595146051544E-3</v>
      </c>
    </row>
    <row r="351" spans="2:8" x14ac:dyDescent="0.3">
      <c r="B351" s="60">
        <v>45540</v>
      </c>
      <c r="C351" s="62">
        <v>2038.1</v>
      </c>
      <c r="D351" s="63">
        <f t="shared" si="10"/>
        <v>1.4003193710845352E-3</v>
      </c>
      <c r="F351" s="60">
        <v>45540</v>
      </c>
      <c r="G351" s="62">
        <v>25145.1</v>
      </c>
      <c r="H351" s="63">
        <f t="shared" si="11"/>
        <v>1.1787712531913686E-2</v>
      </c>
    </row>
    <row r="352" spans="2:8" x14ac:dyDescent="0.3">
      <c r="B352" s="60">
        <v>45539</v>
      </c>
      <c r="C352" s="62">
        <v>2021.2</v>
      </c>
      <c r="D352" s="63">
        <f t="shared" si="10"/>
        <v>-8.2920367008487705E-3</v>
      </c>
      <c r="F352" s="60">
        <v>45539</v>
      </c>
      <c r="G352" s="62">
        <v>25198.7</v>
      </c>
      <c r="H352" s="63">
        <f t="shared" si="11"/>
        <v>2.1316280309087166E-3</v>
      </c>
    </row>
    <row r="353" spans="2:8" x14ac:dyDescent="0.3">
      <c r="B353" s="60">
        <v>45538</v>
      </c>
      <c r="C353" s="62">
        <v>2013.65</v>
      </c>
      <c r="D353" s="63">
        <f t="shared" si="10"/>
        <v>-3.7354047100731647E-3</v>
      </c>
      <c r="F353" s="60">
        <v>45538</v>
      </c>
      <c r="G353" s="62">
        <v>25279.85</v>
      </c>
      <c r="H353" s="63">
        <f t="shared" si="11"/>
        <v>3.220404227202156E-3</v>
      </c>
    </row>
    <row r="354" spans="2:8" x14ac:dyDescent="0.3">
      <c r="B354" s="60">
        <v>45537</v>
      </c>
      <c r="C354" s="62">
        <v>1958.1</v>
      </c>
      <c r="D354" s="63">
        <f t="shared" si="10"/>
        <v>-2.7586720631688766E-2</v>
      </c>
      <c r="F354" s="60">
        <v>45537</v>
      </c>
      <c r="G354" s="62">
        <v>25278.7</v>
      </c>
      <c r="H354" s="63">
        <f t="shared" si="11"/>
        <v>-4.5490776250600717E-5</v>
      </c>
    </row>
    <row r="355" spans="2:8" x14ac:dyDescent="0.3">
      <c r="B355" s="60">
        <v>45534</v>
      </c>
      <c r="C355" s="62">
        <v>1976.85</v>
      </c>
      <c r="D355" s="63">
        <f t="shared" si="10"/>
        <v>9.5756090087328882E-3</v>
      </c>
      <c r="F355" s="60">
        <v>45534</v>
      </c>
      <c r="G355" s="62">
        <v>25235.9</v>
      </c>
      <c r="H355" s="63">
        <f t="shared" si="11"/>
        <v>-1.6931250420314514E-3</v>
      </c>
    </row>
    <row r="356" spans="2:8" x14ac:dyDescent="0.3">
      <c r="B356" s="60">
        <v>45533</v>
      </c>
      <c r="C356" s="62">
        <v>1975.15</v>
      </c>
      <c r="D356" s="63">
        <f t="shared" si="10"/>
        <v>-8.599539671698686E-4</v>
      </c>
      <c r="F356" s="60">
        <v>45533</v>
      </c>
      <c r="G356" s="62">
        <v>25151.95</v>
      </c>
      <c r="H356" s="63">
        <f t="shared" si="11"/>
        <v>-3.3266101070300591E-3</v>
      </c>
    </row>
    <row r="357" spans="2:8" x14ac:dyDescent="0.3">
      <c r="B357" s="60">
        <v>45532</v>
      </c>
      <c r="C357" s="62">
        <v>1970.25</v>
      </c>
      <c r="D357" s="63">
        <f t="shared" si="10"/>
        <v>-2.4808242411968884E-3</v>
      </c>
      <c r="F357" s="60">
        <v>45532</v>
      </c>
      <c r="G357" s="62">
        <v>25052.35</v>
      </c>
      <c r="H357" s="63">
        <f t="shared" si="11"/>
        <v>-3.9599315361235066E-3</v>
      </c>
    </row>
    <row r="358" spans="2:8" x14ac:dyDescent="0.3">
      <c r="B358" s="60">
        <v>45531</v>
      </c>
      <c r="C358" s="62">
        <v>1973.75</v>
      </c>
      <c r="D358" s="63">
        <f t="shared" si="10"/>
        <v>1.7764243116356049E-3</v>
      </c>
      <c r="F358" s="60">
        <v>45531</v>
      </c>
      <c r="G358" s="62">
        <v>25017.75</v>
      </c>
      <c r="H358" s="63">
        <f t="shared" si="11"/>
        <v>-1.3811079599318488E-3</v>
      </c>
    </row>
    <row r="359" spans="2:8" x14ac:dyDescent="0.3">
      <c r="B359" s="60">
        <v>45530</v>
      </c>
      <c r="C359" s="62">
        <v>1979.7</v>
      </c>
      <c r="D359" s="63">
        <f t="shared" si="10"/>
        <v>3.0145661811273872E-3</v>
      </c>
      <c r="F359" s="60">
        <v>45530</v>
      </c>
      <c r="G359" s="62">
        <v>25010.6</v>
      </c>
      <c r="H359" s="63">
        <f t="shared" si="11"/>
        <v>-2.8579708407039384E-4</v>
      </c>
    </row>
    <row r="360" spans="2:8" x14ac:dyDescent="0.3">
      <c r="B360" s="60">
        <v>45527</v>
      </c>
      <c r="C360" s="62">
        <v>1981</v>
      </c>
      <c r="D360" s="63">
        <f t="shared" si="10"/>
        <v>6.5666515128559588E-4</v>
      </c>
      <c r="F360" s="60">
        <v>45527</v>
      </c>
      <c r="G360" s="62">
        <v>24823.15</v>
      </c>
      <c r="H360" s="63">
        <f t="shared" si="11"/>
        <v>-7.4948221953889949E-3</v>
      </c>
    </row>
    <row r="361" spans="2:8" x14ac:dyDescent="0.3">
      <c r="B361" s="60">
        <v>45526</v>
      </c>
      <c r="C361" s="62">
        <v>1951.4</v>
      </c>
      <c r="D361" s="63">
        <f t="shared" si="10"/>
        <v>-1.4941948510853065E-2</v>
      </c>
      <c r="F361" s="60">
        <v>45526</v>
      </c>
      <c r="G361" s="62">
        <v>24811.5</v>
      </c>
      <c r="H361" s="63">
        <f t="shared" si="11"/>
        <v>-4.6931996946408816E-4</v>
      </c>
    </row>
    <row r="362" spans="2:8" x14ac:dyDescent="0.3">
      <c r="B362" s="60">
        <v>45525</v>
      </c>
      <c r="C362" s="62">
        <v>1934.35</v>
      </c>
      <c r="D362" s="63">
        <f t="shared" si="10"/>
        <v>-8.7373167981962263E-3</v>
      </c>
      <c r="F362" s="60">
        <v>45525</v>
      </c>
      <c r="G362" s="62">
        <v>24770.2</v>
      </c>
      <c r="H362" s="63">
        <f t="shared" si="11"/>
        <v>-1.66455071237126E-3</v>
      </c>
    </row>
    <row r="363" spans="2:8" x14ac:dyDescent="0.3">
      <c r="B363" s="60">
        <v>45524</v>
      </c>
      <c r="C363" s="62">
        <v>1952.85</v>
      </c>
      <c r="D363" s="63">
        <f t="shared" si="10"/>
        <v>9.5639362059607436E-3</v>
      </c>
      <c r="F363" s="60">
        <v>45524</v>
      </c>
      <c r="G363" s="62">
        <v>24698.85</v>
      </c>
      <c r="H363" s="63">
        <f t="shared" si="11"/>
        <v>-2.8804773477808521E-3</v>
      </c>
    </row>
    <row r="364" spans="2:8" x14ac:dyDescent="0.3">
      <c r="B364" s="60">
        <v>45523</v>
      </c>
      <c r="C364" s="62">
        <v>1937.2</v>
      </c>
      <c r="D364" s="63">
        <f t="shared" si="10"/>
        <v>-8.0139283611131429E-3</v>
      </c>
      <c r="F364" s="60">
        <v>45523</v>
      </c>
      <c r="G364" s="62">
        <v>24572.65</v>
      </c>
      <c r="H364" s="63">
        <f t="shared" si="11"/>
        <v>-5.1095496349019554E-3</v>
      </c>
    </row>
    <row r="365" spans="2:8" x14ac:dyDescent="0.3">
      <c r="B365" s="60">
        <v>45520</v>
      </c>
      <c r="C365" s="62">
        <v>1911.05</v>
      </c>
      <c r="D365" s="63">
        <f t="shared" si="10"/>
        <v>-1.3498864340285022E-2</v>
      </c>
      <c r="F365" s="60">
        <v>45520</v>
      </c>
      <c r="G365" s="62">
        <v>24541.15</v>
      </c>
      <c r="H365" s="63">
        <f t="shared" si="11"/>
        <v>-1.2819130211840779E-3</v>
      </c>
    </row>
    <row r="366" spans="2:8" x14ac:dyDescent="0.3">
      <c r="B366" s="60">
        <v>45518</v>
      </c>
      <c r="C366" s="62">
        <v>1861.6</v>
      </c>
      <c r="D366" s="63">
        <f t="shared" si="10"/>
        <v>-2.5875827424714171E-2</v>
      </c>
      <c r="F366" s="60">
        <v>45518</v>
      </c>
      <c r="G366" s="62">
        <v>24143.75</v>
      </c>
      <c r="H366" s="63">
        <f t="shared" si="11"/>
        <v>-1.6193210179637152E-2</v>
      </c>
    </row>
    <row r="367" spans="2:8" x14ac:dyDescent="0.3">
      <c r="B367" s="60">
        <v>45517</v>
      </c>
      <c r="C367" s="62">
        <v>1888.7</v>
      </c>
      <c r="D367" s="63">
        <f t="shared" si="10"/>
        <v>1.4557370004297354E-2</v>
      </c>
      <c r="F367" s="60">
        <v>45517</v>
      </c>
      <c r="G367" s="62">
        <v>24139</v>
      </c>
      <c r="H367" s="63">
        <f t="shared" si="11"/>
        <v>-1.9673828630595303E-4</v>
      </c>
    </row>
    <row r="368" spans="2:8" x14ac:dyDescent="0.3">
      <c r="B368" s="60">
        <v>45516</v>
      </c>
      <c r="C368" s="62">
        <v>1896.95</v>
      </c>
      <c r="D368" s="63">
        <f t="shared" si="10"/>
        <v>4.3680838672102151E-3</v>
      </c>
      <c r="F368" s="60">
        <v>45516</v>
      </c>
      <c r="G368" s="62">
        <v>24347</v>
      </c>
      <c r="H368" s="63">
        <f t="shared" si="11"/>
        <v>8.6167612577157104E-3</v>
      </c>
    </row>
    <row r="369" spans="2:8" x14ac:dyDescent="0.3">
      <c r="B369" s="60">
        <v>45513</v>
      </c>
      <c r="C369" s="62">
        <v>1897.55</v>
      </c>
      <c r="D369" s="63">
        <f t="shared" si="10"/>
        <v>3.1629721394876853E-4</v>
      </c>
      <c r="F369" s="60">
        <v>45513</v>
      </c>
      <c r="G369" s="62">
        <v>24367.5</v>
      </c>
      <c r="H369" s="63">
        <f t="shared" si="11"/>
        <v>8.4199285332897666E-4</v>
      </c>
    </row>
    <row r="370" spans="2:8" x14ac:dyDescent="0.3">
      <c r="B370" s="60">
        <v>45512</v>
      </c>
      <c r="C370" s="62">
        <v>1886.55</v>
      </c>
      <c r="D370" s="63">
        <f t="shared" si="10"/>
        <v>-5.7969486970039785E-3</v>
      </c>
      <c r="F370" s="60">
        <v>45512</v>
      </c>
      <c r="G370" s="62">
        <v>24117</v>
      </c>
      <c r="H370" s="63">
        <f t="shared" si="11"/>
        <v>-1.0280086180363135E-2</v>
      </c>
    </row>
    <row r="371" spans="2:8" x14ac:dyDescent="0.3">
      <c r="B371" s="60">
        <v>45511</v>
      </c>
      <c r="C371" s="62">
        <v>1877.05</v>
      </c>
      <c r="D371" s="63">
        <f t="shared" si="10"/>
        <v>-5.0356470806498521E-3</v>
      </c>
      <c r="F371" s="60">
        <v>45511</v>
      </c>
      <c r="G371" s="62">
        <v>24297.5</v>
      </c>
      <c r="H371" s="63">
        <f t="shared" si="11"/>
        <v>7.484347141020864E-3</v>
      </c>
    </row>
    <row r="372" spans="2:8" x14ac:dyDescent="0.3">
      <c r="B372" s="60">
        <v>45510</v>
      </c>
      <c r="C372" s="62">
        <v>1875.6</v>
      </c>
      <c r="D372" s="63">
        <f t="shared" si="10"/>
        <v>-7.7248874563817793E-4</v>
      </c>
      <c r="F372" s="60">
        <v>45510</v>
      </c>
      <c r="G372" s="62">
        <v>23992.55</v>
      </c>
      <c r="H372" s="63">
        <f t="shared" si="11"/>
        <v>-1.2550673937647971E-2</v>
      </c>
    </row>
    <row r="373" spans="2:8" x14ac:dyDescent="0.3">
      <c r="B373" s="60">
        <v>45509</v>
      </c>
      <c r="C373" s="62">
        <v>1876.05</v>
      </c>
      <c r="D373" s="63">
        <f t="shared" si="10"/>
        <v>2.3992322456822812E-4</v>
      </c>
      <c r="F373" s="60">
        <v>45509</v>
      </c>
      <c r="G373" s="62">
        <v>24055.599999999999</v>
      </c>
      <c r="H373" s="63">
        <f t="shared" si="11"/>
        <v>2.6278990770052246E-3</v>
      </c>
    </row>
    <row r="374" spans="2:8" x14ac:dyDescent="0.3">
      <c r="B374" s="60">
        <v>45506</v>
      </c>
      <c r="C374" s="62">
        <v>1908.1</v>
      </c>
      <c r="D374" s="63">
        <f t="shared" si="10"/>
        <v>1.7083766424135893E-2</v>
      </c>
      <c r="F374" s="60">
        <v>45506</v>
      </c>
      <c r="G374" s="62">
        <v>24717.7</v>
      </c>
      <c r="H374" s="63">
        <f t="shared" si="11"/>
        <v>2.7523736676699162E-2</v>
      </c>
    </row>
    <row r="375" spans="2:8" x14ac:dyDescent="0.3">
      <c r="B375" s="60">
        <v>45505</v>
      </c>
      <c r="C375" s="62">
        <v>1909</v>
      </c>
      <c r="D375" s="63">
        <f t="shared" si="10"/>
        <v>4.7167339237996764E-4</v>
      </c>
      <c r="F375" s="60">
        <v>45505</v>
      </c>
      <c r="G375" s="62">
        <v>25010.9</v>
      </c>
      <c r="H375" s="63">
        <f t="shared" si="11"/>
        <v>1.1861945083887271E-2</v>
      </c>
    </row>
    <row r="376" spans="2:8" x14ac:dyDescent="0.3">
      <c r="B376" s="60">
        <v>45504</v>
      </c>
      <c r="C376" s="62">
        <v>1976.2</v>
      </c>
      <c r="D376" s="63">
        <f t="shared" si="10"/>
        <v>3.5201676270298687E-2</v>
      </c>
      <c r="F376" s="60">
        <v>45504</v>
      </c>
      <c r="G376" s="62">
        <v>24951.15</v>
      </c>
      <c r="H376" s="63">
        <f t="shared" si="11"/>
        <v>-2.3889584141314479E-3</v>
      </c>
    </row>
    <row r="377" spans="2:8" x14ac:dyDescent="0.3">
      <c r="B377" s="60">
        <v>45503</v>
      </c>
      <c r="C377" s="62">
        <v>1954.2</v>
      </c>
      <c r="D377" s="63">
        <f t="shared" si="10"/>
        <v>-1.1132476469992936E-2</v>
      </c>
      <c r="F377" s="60">
        <v>45503</v>
      </c>
      <c r="G377" s="62">
        <v>24857.3</v>
      </c>
      <c r="H377" s="63">
        <f t="shared" si="11"/>
        <v>-3.7613496772694877E-3</v>
      </c>
    </row>
    <row r="378" spans="2:8" x14ac:dyDescent="0.3">
      <c r="B378" s="60">
        <v>45502</v>
      </c>
      <c r="C378" s="62">
        <v>1922.4</v>
      </c>
      <c r="D378" s="63">
        <f t="shared" si="10"/>
        <v>-1.62726435369972E-2</v>
      </c>
      <c r="F378" s="60">
        <v>45502</v>
      </c>
      <c r="G378" s="62">
        <v>24836.1</v>
      </c>
      <c r="H378" s="63">
        <f t="shared" si="11"/>
        <v>-8.5286817152308014E-4</v>
      </c>
    </row>
    <row r="379" spans="2:8" x14ac:dyDescent="0.3">
      <c r="B379" s="60">
        <v>45499</v>
      </c>
      <c r="C379" s="62">
        <v>1949.75</v>
      </c>
      <c r="D379" s="63">
        <f t="shared" si="10"/>
        <v>1.4227007906783218E-2</v>
      </c>
      <c r="F379" s="60">
        <v>45499</v>
      </c>
      <c r="G379" s="62">
        <v>24834.85</v>
      </c>
      <c r="H379" s="63">
        <f t="shared" si="11"/>
        <v>-5.0329963238948672E-5</v>
      </c>
    </row>
    <row r="380" spans="2:8" x14ac:dyDescent="0.3">
      <c r="B380" s="60">
        <v>45498</v>
      </c>
      <c r="C380" s="62">
        <v>1924.55</v>
      </c>
      <c r="D380" s="63">
        <f t="shared" si="10"/>
        <v>-1.2924733940248734E-2</v>
      </c>
      <c r="F380" s="60">
        <v>45498</v>
      </c>
      <c r="G380" s="62">
        <v>24406.1</v>
      </c>
      <c r="H380" s="63">
        <f t="shared" si="11"/>
        <v>-1.7264046289790391E-2</v>
      </c>
    </row>
    <row r="381" spans="2:8" x14ac:dyDescent="0.3">
      <c r="B381" s="60">
        <v>45497</v>
      </c>
      <c r="C381" s="62">
        <v>1943.2</v>
      </c>
      <c r="D381" s="63">
        <f t="shared" si="10"/>
        <v>9.6905770180042428E-3</v>
      </c>
      <c r="F381" s="60">
        <v>45497</v>
      </c>
      <c r="G381" s="62">
        <v>24413.5</v>
      </c>
      <c r="H381" s="63">
        <f t="shared" si="11"/>
        <v>3.0320288780272264E-4</v>
      </c>
    </row>
    <row r="382" spans="2:8" x14ac:dyDescent="0.3">
      <c r="B382" s="60">
        <v>45496</v>
      </c>
      <c r="C382" s="62">
        <v>1886</v>
      </c>
      <c r="D382" s="63">
        <f t="shared" si="10"/>
        <v>-2.9435981885549634E-2</v>
      </c>
      <c r="F382" s="60">
        <v>45496</v>
      </c>
      <c r="G382" s="62">
        <v>24479.05</v>
      </c>
      <c r="H382" s="63">
        <f t="shared" si="11"/>
        <v>2.6849898621663648E-3</v>
      </c>
    </row>
    <row r="383" spans="2:8" x14ac:dyDescent="0.3">
      <c r="B383" s="60">
        <v>45495</v>
      </c>
      <c r="C383" s="62">
        <v>1917.65</v>
      </c>
      <c r="D383" s="63">
        <f t="shared" si="10"/>
        <v>1.6781548250265121E-2</v>
      </c>
      <c r="F383" s="60">
        <v>45495</v>
      </c>
      <c r="G383" s="62">
        <v>24509.25</v>
      </c>
      <c r="H383" s="63">
        <f t="shared" si="11"/>
        <v>1.2337080074593665E-3</v>
      </c>
    </row>
    <row r="384" spans="2:8" x14ac:dyDescent="0.3">
      <c r="B384" s="60">
        <v>45492</v>
      </c>
      <c r="C384" s="62">
        <v>1890</v>
      </c>
      <c r="D384" s="63">
        <f t="shared" si="10"/>
        <v>-1.4418689541887297E-2</v>
      </c>
      <c r="F384" s="60">
        <v>45492</v>
      </c>
      <c r="G384" s="62">
        <v>24530.9</v>
      </c>
      <c r="H384" s="63">
        <f t="shared" si="11"/>
        <v>8.8333996348333166E-4</v>
      </c>
    </row>
    <row r="385" spans="2:8" x14ac:dyDescent="0.3">
      <c r="B385" s="60">
        <v>45491</v>
      </c>
      <c r="C385" s="62">
        <v>1923.2</v>
      </c>
      <c r="D385" s="63">
        <f t="shared" si="10"/>
        <v>1.7566137566137563E-2</v>
      </c>
      <c r="F385" s="60">
        <v>45491</v>
      </c>
      <c r="G385" s="62">
        <v>24800.85</v>
      </c>
      <c r="H385" s="63">
        <f t="shared" si="11"/>
        <v>1.1004488216901809E-2</v>
      </c>
    </row>
    <row r="386" spans="2:8" x14ac:dyDescent="0.3">
      <c r="B386" s="60">
        <v>45489</v>
      </c>
      <c r="C386" s="62">
        <v>1991.25</v>
      </c>
      <c r="D386" s="63">
        <f t="shared" si="10"/>
        <v>3.5383735440931652E-2</v>
      </c>
      <c r="F386" s="60">
        <v>45489</v>
      </c>
      <c r="G386" s="62">
        <v>24613</v>
      </c>
      <c r="H386" s="63">
        <f t="shared" si="11"/>
        <v>-7.5743371698953066E-3</v>
      </c>
    </row>
    <row r="387" spans="2:8" x14ac:dyDescent="0.3">
      <c r="B387" s="60">
        <v>45488</v>
      </c>
      <c r="C387" s="62">
        <v>1952.15</v>
      </c>
      <c r="D387" s="63">
        <f t="shared" si="10"/>
        <v>-1.9635907093534133E-2</v>
      </c>
      <c r="F387" s="60">
        <v>45488</v>
      </c>
      <c r="G387" s="62">
        <v>24586.7</v>
      </c>
      <c r="H387" s="63">
        <f t="shared" si="11"/>
        <v>-1.0685410149108288E-3</v>
      </c>
    </row>
    <row r="388" spans="2:8" x14ac:dyDescent="0.3">
      <c r="B388" s="60">
        <v>45485</v>
      </c>
      <c r="C388" s="62">
        <v>2010.6</v>
      </c>
      <c r="D388" s="63">
        <f t="shared" si="10"/>
        <v>2.9941346720282702E-2</v>
      </c>
      <c r="F388" s="60">
        <v>45485</v>
      </c>
      <c r="G388" s="62">
        <v>24502.15</v>
      </c>
      <c r="H388" s="63">
        <f t="shared" si="11"/>
        <v>-3.4388510861562693E-3</v>
      </c>
    </row>
    <row r="389" spans="2:8" x14ac:dyDescent="0.3">
      <c r="B389" s="60">
        <v>45484</v>
      </c>
      <c r="C389" s="62">
        <v>2010.3</v>
      </c>
      <c r="D389" s="63">
        <f t="shared" si="10"/>
        <v>-1.4920919128613708E-4</v>
      </c>
      <c r="F389" s="60">
        <v>45484</v>
      </c>
      <c r="G389" s="62">
        <v>24315.95</v>
      </c>
      <c r="H389" s="63">
        <f t="shared" si="11"/>
        <v>-7.5993331197466985E-3</v>
      </c>
    </row>
    <row r="390" spans="2:8" x14ac:dyDescent="0.3">
      <c r="B390" s="60">
        <v>45483</v>
      </c>
      <c r="C390" s="62">
        <v>2053.8000000000002</v>
      </c>
      <c r="D390" s="63">
        <f t="shared" si="10"/>
        <v>2.1638561408745094E-2</v>
      </c>
      <c r="F390" s="60">
        <v>45483</v>
      </c>
      <c r="G390" s="62">
        <v>24324.45</v>
      </c>
      <c r="H390" s="63">
        <f t="shared" si="11"/>
        <v>3.495647918341227E-4</v>
      </c>
    </row>
    <row r="391" spans="2:8" x14ac:dyDescent="0.3">
      <c r="B391" s="60">
        <v>45482</v>
      </c>
      <c r="C391" s="62">
        <v>2017.55</v>
      </c>
      <c r="D391" s="63">
        <f t="shared" si="10"/>
        <v>-1.765020936800088E-2</v>
      </c>
      <c r="F391" s="60">
        <v>45482</v>
      </c>
      <c r="G391" s="62">
        <v>24433.200000000001</v>
      </c>
      <c r="H391" s="63">
        <f t="shared" si="11"/>
        <v>4.4708102341470823E-3</v>
      </c>
    </row>
    <row r="392" spans="2:8" x14ac:dyDescent="0.3">
      <c r="B392" s="60">
        <v>45481</v>
      </c>
      <c r="C392" s="62">
        <v>2061.4</v>
      </c>
      <c r="D392" s="63">
        <f t="shared" si="10"/>
        <v>2.1734281678273293E-2</v>
      </c>
      <c r="F392" s="60">
        <v>45481</v>
      </c>
      <c r="G392" s="62">
        <v>24320.55</v>
      </c>
      <c r="H392" s="63">
        <f t="shared" si="11"/>
        <v>-4.6105299346791417E-3</v>
      </c>
    </row>
    <row r="393" spans="2:8" x14ac:dyDescent="0.3">
      <c r="B393" s="60">
        <v>45478</v>
      </c>
      <c r="C393" s="62">
        <v>1961.1</v>
      </c>
      <c r="D393" s="63">
        <f t="shared" ref="D393:D456" si="12">C393/C392-1</f>
        <v>-4.8656253031920116E-2</v>
      </c>
      <c r="F393" s="60">
        <v>45478</v>
      </c>
      <c r="G393" s="62">
        <v>24323.85</v>
      </c>
      <c r="H393" s="63">
        <f t="shared" ref="H393:H456" si="13">G393/G392-1</f>
        <v>1.3568772087801939E-4</v>
      </c>
    </row>
    <row r="394" spans="2:8" x14ac:dyDescent="0.3">
      <c r="B394" s="60">
        <v>45477</v>
      </c>
      <c r="C394" s="62">
        <v>1965.7</v>
      </c>
      <c r="D394" s="63">
        <f t="shared" si="12"/>
        <v>2.345622354800847E-3</v>
      </c>
      <c r="F394" s="60">
        <v>45477</v>
      </c>
      <c r="G394" s="62">
        <v>24302.15</v>
      </c>
      <c r="H394" s="63">
        <f t="shared" si="13"/>
        <v>-8.92128507616885E-4</v>
      </c>
    </row>
    <row r="395" spans="2:8" x14ac:dyDescent="0.3">
      <c r="B395" s="60">
        <v>45476</v>
      </c>
      <c r="C395" s="62">
        <v>1951.1</v>
      </c>
      <c r="D395" s="63">
        <f t="shared" si="12"/>
        <v>-7.4273795594445025E-3</v>
      </c>
      <c r="F395" s="60">
        <v>45476</v>
      </c>
      <c r="G395" s="62">
        <v>24286.5</v>
      </c>
      <c r="H395" s="63">
        <f t="shared" si="13"/>
        <v>-6.4397594451526263E-4</v>
      </c>
    </row>
    <row r="396" spans="2:8" x14ac:dyDescent="0.3">
      <c r="B396" s="60">
        <v>45475</v>
      </c>
      <c r="C396" s="62">
        <v>1959.3</v>
      </c>
      <c r="D396" s="63">
        <f t="shared" si="12"/>
        <v>4.202757418891867E-3</v>
      </c>
      <c r="F396" s="60">
        <v>45475</v>
      </c>
      <c r="G396" s="62">
        <v>24123.85</v>
      </c>
      <c r="H396" s="63">
        <f t="shared" si="13"/>
        <v>-6.6971362691207181E-3</v>
      </c>
    </row>
    <row r="397" spans="2:8" x14ac:dyDescent="0.3">
      <c r="B397" s="60">
        <v>45474</v>
      </c>
      <c r="C397" s="62">
        <v>1947.25</v>
      </c>
      <c r="D397" s="63">
        <f t="shared" si="12"/>
        <v>-6.1501556678404956E-3</v>
      </c>
      <c r="F397" s="60">
        <v>45474</v>
      </c>
      <c r="G397" s="62">
        <v>24141.95</v>
      </c>
      <c r="H397" s="63">
        <f t="shared" si="13"/>
        <v>7.5029483270716568E-4</v>
      </c>
    </row>
    <row r="398" spans="2:8" x14ac:dyDescent="0.3">
      <c r="B398" s="60">
        <v>45471</v>
      </c>
      <c r="C398" s="62">
        <v>1921.9</v>
      </c>
      <c r="D398" s="63">
        <f t="shared" si="12"/>
        <v>-1.3018359224547416E-2</v>
      </c>
      <c r="F398" s="60">
        <v>45471</v>
      </c>
      <c r="G398" s="62">
        <v>24010.6</v>
      </c>
      <c r="H398" s="63">
        <f t="shared" si="13"/>
        <v>-5.4407369744366996E-3</v>
      </c>
    </row>
    <row r="399" spans="2:8" x14ac:dyDescent="0.3">
      <c r="B399" s="60">
        <v>45470</v>
      </c>
      <c r="C399" s="62">
        <v>1976.2</v>
      </c>
      <c r="D399" s="63">
        <f t="shared" si="12"/>
        <v>2.8253291014100679E-2</v>
      </c>
      <c r="F399" s="60">
        <v>45470</v>
      </c>
      <c r="G399" s="62">
        <v>24044.5</v>
      </c>
      <c r="H399" s="63">
        <f t="shared" si="13"/>
        <v>1.4118764212474044E-3</v>
      </c>
    </row>
    <row r="400" spans="2:8" x14ac:dyDescent="0.3">
      <c r="B400" s="60">
        <v>45469</v>
      </c>
      <c r="C400" s="62">
        <v>1850.15</v>
      </c>
      <c r="D400" s="63">
        <f t="shared" si="12"/>
        <v>-6.3784029956482136E-2</v>
      </c>
      <c r="F400" s="60">
        <v>45469</v>
      </c>
      <c r="G400" s="62">
        <v>23868.799999999999</v>
      </c>
      <c r="H400" s="63">
        <f t="shared" si="13"/>
        <v>-7.3072844101561563E-3</v>
      </c>
    </row>
    <row r="401" spans="2:8" x14ac:dyDescent="0.3">
      <c r="B401" s="60">
        <v>45468</v>
      </c>
      <c r="C401" s="62">
        <v>1682.35</v>
      </c>
      <c r="D401" s="63">
        <f t="shared" si="12"/>
        <v>-9.0695349025754712E-2</v>
      </c>
      <c r="F401" s="60">
        <v>45468</v>
      </c>
      <c r="G401" s="62">
        <v>23721.3</v>
      </c>
      <c r="H401" s="63">
        <f t="shared" si="13"/>
        <v>-6.1796152299236073E-3</v>
      </c>
    </row>
    <row r="402" spans="2:8" x14ac:dyDescent="0.3">
      <c r="B402" s="60">
        <v>45467</v>
      </c>
      <c r="C402" s="62">
        <v>1676.85</v>
      </c>
      <c r="D402" s="63">
        <f t="shared" si="12"/>
        <v>-3.2692364846791389E-3</v>
      </c>
      <c r="F402" s="60">
        <v>45467</v>
      </c>
      <c r="G402" s="62">
        <v>23537.85</v>
      </c>
      <c r="H402" s="63">
        <f t="shared" si="13"/>
        <v>-7.7335559180989888E-3</v>
      </c>
    </row>
    <row r="403" spans="2:8" x14ac:dyDescent="0.3">
      <c r="B403" s="60">
        <v>45464</v>
      </c>
      <c r="C403" s="62">
        <v>1693.45</v>
      </c>
      <c r="D403" s="63">
        <f t="shared" si="12"/>
        <v>9.8995139696456125E-3</v>
      </c>
      <c r="F403" s="60">
        <v>45464</v>
      </c>
      <c r="G403" s="62">
        <v>23501.1</v>
      </c>
      <c r="H403" s="63">
        <f t="shared" si="13"/>
        <v>-1.5613150733818637E-3</v>
      </c>
    </row>
    <row r="404" spans="2:8" x14ac:dyDescent="0.3">
      <c r="B404" s="60">
        <v>45463</v>
      </c>
      <c r="C404" s="62">
        <v>1671.45</v>
      </c>
      <c r="D404" s="63">
        <f t="shared" si="12"/>
        <v>-1.2991230919129571E-2</v>
      </c>
      <c r="F404" s="60">
        <v>45463</v>
      </c>
      <c r="G404" s="62">
        <v>23567</v>
      </c>
      <c r="H404" s="63">
        <f t="shared" si="13"/>
        <v>2.804124062278035E-3</v>
      </c>
    </row>
    <row r="405" spans="2:8" x14ac:dyDescent="0.3">
      <c r="B405" s="60">
        <v>45462</v>
      </c>
      <c r="C405" s="62">
        <v>1652.1</v>
      </c>
      <c r="D405" s="63">
        <f t="shared" si="12"/>
        <v>-1.1576774656735234E-2</v>
      </c>
      <c r="F405" s="60">
        <v>45462</v>
      </c>
      <c r="G405" s="62">
        <v>23516</v>
      </c>
      <c r="H405" s="63">
        <f t="shared" si="13"/>
        <v>-2.1640429414011564E-3</v>
      </c>
    </row>
    <row r="406" spans="2:8" x14ac:dyDescent="0.3">
      <c r="B406" s="60">
        <v>45461</v>
      </c>
      <c r="C406" s="62">
        <v>1671.85</v>
      </c>
      <c r="D406" s="63">
        <f t="shared" si="12"/>
        <v>1.1954482174202585E-2</v>
      </c>
      <c r="F406" s="60">
        <v>45461</v>
      </c>
      <c r="G406" s="62">
        <v>23557.9</v>
      </c>
      <c r="H406" s="63">
        <f t="shared" si="13"/>
        <v>1.7817656063956466E-3</v>
      </c>
    </row>
    <row r="407" spans="2:8" x14ac:dyDescent="0.3">
      <c r="B407" s="60">
        <v>45457</v>
      </c>
      <c r="C407" s="62">
        <v>1661.15</v>
      </c>
      <c r="D407" s="63">
        <f t="shared" si="12"/>
        <v>-6.4000957023655491E-3</v>
      </c>
      <c r="F407" s="60">
        <v>45457</v>
      </c>
      <c r="G407" s="62">
        <v>23465.599999999999</v>
      </c>
      <c r="H407" s="63">
        <f t="shared" si="13"/>
        <v>-3.91800627390404E-3</v>
      </c>
    </row>
    <row r="408" spans="2:8" x14ac:dyDescent="0.3">
      <c r="B408" s="60">
        <v>45456</v>
      </c>
      <c r="C408" s="62">
        <v>1610.95</v>
      </c>
      <c r="D408" s="63">
        <f t="shared" si="12"/>
        <v>-3.0220028293652001E-2</v>
      </c>
      <c r="F408" s="60">
        <v>45456</v>
      </c>
      <c r="G408" s="62">
        <v>23398.9</v>
      </c>
      <c r="H408" s="63">
        <f t="shared" si="13"/>
        <v>-2.842458748124832E-3</v>
      </c>
    </row>
    <row r="409" spans="2:8" x14ac:dyDescent="0.3">
      <c r="B409" s="60">
        <v>45455</v>
      </c>
      <c r="C409" s="62">
        <v>1599.35</v>
      </c>
      <c r="D409" s="63">
        <f t="shared" si="12"/>
        <v>-7.2007200720073383E-3</v>
      </c>
      <c r="F409" s="60">
        <v>45455</v>
      </c>
      <c r="G409" s="62">
        <v>23322.95</v>
      </c>
      <c r="H409" s="63">
        <f t="shared" si="13"/>
        <v>-3.2458790797857962E-3</v>
      </c>
    </row>
    <row r="410" spans="2:8" x14ac:dyDescent="0.3">
      <c r="B410" s="60">
        <v>45454</v>
      </c>
      <c r="C410" s="62">
        <v>1608.2</v>
      </c>
      <c r="D410" s="63">
        <f t="shared" si="12"/>
        <v>5.5334979835559572E-3</v>
      </c>
      <c r="F410" s="60">
        <v>45454</v>
      </c>
      <c r="G410" s="62">
        <v>23264.85</v>
      </c>
      <c r="H410" s="63">
        <f t="shared" si="13"/>
        <v>-2.4911085433018121E-3</v>
      </c>
    </row>
    <row r="411" spans="2:8" x14ac:dyDescent="0.3">
      <c r="B411" s="60">
        <v>45453</v>
      </c>
      <c r="C411" s="62">
        <v>1618.4</v>
      </c>
      <c r="D411" s="63">
        <f t="shared" si="12"/>
        <v>6.3424947145878097E-3</v>
      </c>
      <c r="F411" s="60">
        <v>45453</v>
      </c>
      <c r="G411" s="62">
        <v>23259.200000000001</v>
      </c>
      <c r="H411" s="63">
        <f t="shared" si="13"/>
        <v>-2.4285563844161917E-4</v>
      </c>
    </row>
    <row r="412" spans="2:8" x14ac:dyDescent="0.3">
      <c r="B412" s="60">
        <v>45450</v>
      </c>
      <c r="C412" s="62">
        <v>1591.75</v>
      </c>
      <c r="D412" s="63">
        <f t="shared" si="12"/>
        <v>-1.6466880869995149E-2</v>
      </c>
      <c r="F412" s="60">
        <v>45450</v>
      </c>
      <c r="G412" s="62">
        <v>23290.15</v>
      </c>
      <c r="H412" s="63">
        <f t="shared" si="13"/>
        <v>1.3306562564490143E-3</v>
      </c>
    </row>
    <row r="413" spans="2:8" x14ac:dyDescent="0.3">
      <c r="B413" s="60">
        <v>45449</v>
      </c>
      <c r="C413" s="62">
        <v>1591.95</v>
      </c>
      <c r="D413" s="63">
        <f t="shared" si="12"/>
        <v>1.2564787183921844E-4</v>
      </c>
      <c r="F413" s="60">
        <v>45449</v>
      </c>
      <c r="G413" s="62">
        <v>22821.4</v>
      </c>
      <c r="H413" s="63">
        <f t="shared" si="13"/>
        <v>-2.0126534178611988E-2</v>
      </c>
    </row>
    <row r="414" spans="2:8" x14ac:dyDescent="0.3">
      <c r="B414" s="60">
        <v>45448</v>
      </c>
      <c r="C414" s="62">
        <v>1530.8</v>
      </c>
      <c r="D414" s="63">
        <f t="shared" si="12"/>
        <v>-3.8412010427463228E-2</v>
      </c>
      <c r="F414" s="60">
        <v>45448</v>
      </c>
      <c r="G414" s="62">
        <v>22620.35</v>
      </c>
      <c r="H414" s="63">
        <f t="shared" si="13"/>
        <v>-8.8097136897825612E-3</v>
      </c>
    </row>
    <row r="415" spans="2:8" x14ac:dyDescent="0.3">
      <c r="B415" s="60">
        <v>45447</v>
      </c>
      <c r="C415" s="62">
        <v>1457.6</v>
      </c>
      <c r="D415" s="63">
        <f t="shared" si="12"/>
        <v>-4.7818134308858173E-2</v>
      </c>
      <c r="F415" s="60">
        <v>45447</v>
      </c>
      <c r="G415" s="62">
        <v>21884.5</v>
      </c>
      <c r="H415" s="63">
        <f t="shared" si="13"/>
        <v>-3.2530442720824282E-2</v>
      </c>
    </row>
    <row r="416" spans="2:8" x14ac:dyDescent="0.3">
      <c r="B416" s="60">
        <v>45446</v>
      </c>
      <c r="C416" s="62">
        <v>1573.8</v>
      </c>
      <c r="D416" s="63">
        <f t="shared" si="12"/>
        <v>7.9720087815587259E-2</v>
      </c>
      <c r="F416" s="60">
        <v>45446</v>
      </c>
      <c r="G416" s="62">
        <v>23263.9</v>
      </c>
      <c r="H416" s="63">
        <f t="shared" si="13"/>
        <v>6.3030912289520069E-2</v>
      </c>
    </row>
    <row r="417" spans="2:8" x14ac:dyDescent="0.3">
      <c r="B417" s="60">
        <v>45443</v>
      </c>
      <c r="C417" s="62">
        <v>1585.6</v>
      </c>
      <c r="D417" s="63">
        <f t="shared" si="12"/>
        <v>7.4977760833649931E-3</v>
      </c>
      <c r="F417" s="60">
        <v>45443</v>
      </c>
      <c r="G417" s="62">
        <v>22530.7</v>
      </c>
      <c r="H417" s="63">
        <f t="shared" si="13"/>
        <v>-3.1516641663693612E-2</v>
      </c>
    </row>
    <row r="418" spans="2:8" x14ac:dyDescent="0.3">
      <c r="B418" s="60">
        <v>45442</v>
      </c>
      <c r="C418" s="62">
        <v>1554.05</v>
      </c>
      <c r="D418" s="63">
        <f t="shared" si="12"/>
        <v>-1.9897830474268408E-2</v>
      </c>
      <c r="F418" s="60">
        <v>45442</v>
      </c>
      <c r="G418" s="62">
        <v>22488.65</v>
      </c>
      <c r="H418" s="63">
        <f t="shared" si="13"/>
        <v>-1.8663423684128766E-3</v>
      </c>
    </row>
    <row r="419" spans="2:8" x14ac:dyDescent="0.3">
      <c r="B419" s="60">
        <v>45441</v>
      </c>
      <c r="C419" s="62">
        <v>1584.45</v>
      </c>
      <c r="D419" s="63">
        <f t="shared" si="12"/>
        <v>1.956179016119175E-2</v>
      </c>
      <c r="F419" s="60">
        <v>45441</v>
      </c>
      <c r="G419" s="62">
        <v>22704.7</v>
      </c>
      <c r="H419" s="63">
        <f t="shared" si="13"/>
        <v>9.6070684545315199E-3</v>
      </c>
    </row>
    <row r="420" spans="2:8" x14ac:dyDescent="0.3">
      <c r="B420" s="60">
        <v>45440</v>
      </c>
      <c r="C420" s="62">
        <v>1589.4</v>
      </c>
      <c r="D420" s="63">
        <f t="shared" si="12"/>
        <v>3.1241124680487786E-3</v>
      </c>
      <c r="F420" s="60">
        <v>45440</v>
      </c>
      <c r="G420" s="62">
        <v>22888.15</v>
      </c>
      <c r="H420" s="63">
        <f t="shared" si="13"/>
        <v>8.0798248820728169E-3</v>
      </c>
    </row>
    <row r="421" spans="2:8" x14ac:dyDescent="0.3">
      <c r="B421" s="60">
        <v>45439</v>
      </c>
      <c r="C421" s="62">
        <v>1559.5</v>
      </c>
      <c r="D421" s="63">
        <f t="shared" si="12"/>
        <v>-1.8812130363659252E-2</v>
      </c>
      <c r="F421" s="60">
        <v>45439</v>
      </c>
      <c r="G421" s="62">
        <v>22932.45</v>
      </c>
      <c r="H421" s="63">
        <f t="shared" si="13"/>
        <v>1.9354993741302895E-3</v>
      </c>
    </row>
    <row r="422" spans="2:8" x14ac:dyDescent="0.3">
      <c r="B422" s="60">
        <v>45436</v>
      </c>
      <c r="C422" s="62">
        <v>1614.6</v>
      </c>
      <c r="D422" s="63">
        <f t="shared" si="12"/>
        <v>3.5331837127284382E-2</v>
      </c>
      <c r="F422" s="60">
        <v>45436</v>
      </c>
      <c r="G422" s="62">
        <v>22957.1</v>
      </c>
      <c r="H422" s="63">
        <f t="shared" si="13"/>
        <v>1.0748960534090468E-3</v>
      </c>
    </row>
    <row r="423" spans="2:8" x14ac:dyDescent="0.3">
      <c r="B423" s="60">
        <v>45435</v>
      </c>
      <c r="C423" s="62">
        <v>1608.3</v>
      </c>
      <c r="D423" s="63">
        <f t="shared" si="12"/>
        <v>-3.9018952062429557E-3</v>
      </c>
      <c r="F423" s="60">
        <v>45435</v>
      </c>
      <c r="G423" s="62">
        <v>22967.65</v>
      </c>
      <c r="H423" s="63">
        <f t="shared" si="13"/>
        <v>4.5955281808263138E-4</v>
      </c>
    </row>
    <row r="424" spans="2:8" x14ac:dyDescent="0.3">
      <c r="B424" s="60">
        <v>45434</v>
      </c>
      <c r="C424" s="62">
        <v>1613.05</v>
      </c>
      <c r="D424" s="63">
        <f t="shared" si="12"/>
        <v>2.953429086613113E-3</v>
      </c>
      <c r="F424" s="60">
        <v>45434</v>
      </c>
      <c r="G424" s="62">
        <v>22597.8</v>
      </c>
      <c r="H424" s="63">
        <f t="shared" si="13"/>
        <v>-1.6103084120491329E-2</v>
      </c>
    </row>
    <row r="425" spans="2:8" x14ac:dyDescent="0.3">
      <c r="B425" s="60">
        <v>45433</v>
      </c>
      <c r="C425" s="62">
        <v>1600.65</v>
      </c>
      <c r="D425" s="63">
        <f t="shared" si="12"/>
        <v>-7.6873004556584634E-3</v>
      </c>
      <c r="F425" s="60">
        <v>45433</v>
      </c>
      <c r="G425" s="62">
        <v>22529.05</v>
      </c>
      <c r="H425" s="63">
        <f t="shared" si="13"/>
        <v>-3.0423315543991469E-3</v>
      </c>
    </row>
    <row r="426" spans="2:8" x14ac:dyDescent="0.3">
      <c r="B426" s="60">
        <v>45430</v>
      </c>
      <c r="C426" s="62">
        <v>1603.05</v>
      </c>
      <c r="D426" s="63">
        <f t="shared" si="12"/>
        <v>1.4993908724578731E-3</v>
      </c>
      <c r="F426" s="60">
        <v>45430</v>
      </c>
      <c r="G426" s="62">
        <v>22502</v>
      </c>
      <c r="H426" s="63">
        <f t="shared" si="13"/>
        <v>-1.2006720212347499E-3</v>
      </c>
    </row>
    <row r="427" spans="2:8" x14ac:dyDescent="0.3">
      <c r="B427" s="60">
        <v>45429</v>
      </c>
      <c r="C427" s="62">
        <v>1592.45</v>
      </c>
      <c r="D427" s="63">
        <f t="shared" si="12"/>
        <v>-6.6123951217990085E-3</v>
      </c>
      <c r="F427" s="60">
        <v>45429</v>
      </c>
      <c r="G427" s="62">
        <v>22466.1</v>
      </c>
      <c r="H427" s="63">
        <f t="shared" si="13"/>
        <v>-1.5954137410009173E-3</v>
      </c>
    </row>
    <row r="428" spans="2:8" x14ac:dyDescent="0.3">
      <c r="B428" s="60">
        <v>45428</v>
      </c>
      <c r="C428" s="62">
        <v>1627</v>
      </c>
      <c r="D428" s="63">
        <f t="shared" si="12"/>
        <v>2.1696128606863541E-2</v>
      </c>
      <c r="F428" s="60">
        <v>45428</v>
      </c>
      <c r="G428" s="62">
        <v>22403.85</v>
      </c>
      <c r="H428" s="63">
        <f t="shared" si="13"/>
        <v>-2.7708414010442217E-3</v>
      </c>
    </row>
    <row r="429" spans="2:8" x14ac:dyDescent="0.3">
      <c r="B429" s="60">
        <v>45427</v>
      </c>
      <c r="C429" s="62">
        <v>1629.4</v>
      </c>
      <c r="D429" s="63">
        <f t="shared" si="12"/>
        <v>1.475107559926192E-3</v>
      </c>
      <c r="F429" s="60">
        <v>45427</v>
      </c>
      <c r="G429" s="62">
        <v>22200.55</v>
      </c>
      <c r="H429" s="63">
        <f t="shared" si="13"/>
        <v>-9.0743332061230531E-3</v>
      </c>
    </row>
    <row r="430" spans="2:8" x14ac:dyDescent="0.3">
      <c r="B430" s="60">
        <v>45426</v>
      </c>
      <c r="C430" s="62">
        <v>1658.45</v>
      </c>
      <c r="D430" s="63">
        <f t="shared" si="12"/>
        <v>1.7828648582300266E-2</v>
      </c>
      <c r="F430" s="60">
        <v>45426</v>
      </c>
      <c r="G430" s="62">
        <v>22217.85</v>
      </c>
      <c r="H430" s="63">
        <f t="shared" si="13"/>
        <v>7.7925997328898156E-4</v>
      </c>
    </row>
    <row r="431" spans="2:8" x14ac:dyDescent="0.3">
      <c r="B431" s="60">
        <v>45425</v>
      </c>
      <c r="C431" s="62">
        <v>1583.65</v>
      </c>
      <c r="D431" s="63">
        <f t="shared" si="12"/>
        <v>-4.5102354608218542E-2</v>
      </c>
      <c r="F431" s="60">
        <v>45425</v>
      </c>
      <c r="G431" s="62">
        <v>22104.05</v>
      </c>
      <c r="H431" s="63">
        <f t="shared" si="13"/>
        <v>-5.1220077550258036E-3</v>
      </c>
    </row>
    <row r="432" spans="2:8" x14ac:dyDescent="0.3">
      <c r="B432" s="60">
        <v>45422</v>
      </c>
      <c r="C432" s="62">
        <v>1557.45</v>
      </c>
      <c r="D432" s="63">
        <f t="shared" si="12"/>
        <v>-1.6544059609130857E-2</v>
      </c>
      <c r="F432" s="60">
        <v>45422</v>
      </c>
      <c r="G432" s="62">
        <v>22055.200000000001</v>
      </c>
      <c r="H432" s="63">
        <f t="shared" si="13"/>
        <v>-2.2100022394085928E-3</v>
      </c>
    </row>
    <row r="433" spans="2:8" x14ac:dyDescent="0.3">
      <c r="B433" s="60">
        <v>45421</v>
      </c>
      <c r="C433" s="62">
        <v>1592.95</v>
      </c>
      <c r="D433" s="63">
        <f t="shared" si="12"/>
        <v>2.2793669138656103E-2</v>
      </c>
      <c r="F433" s="60">
        <v>45421</v>
      </c>
      <c r="G433" s="62">
        <v>21957.5</v>
      </c>
      <c r="H433" s="63">
        <f t="shared" si="13"/>
        <v>-4.4297943342159751E-3</v>
      </c>
    </row>
    <row r="434" spans="2:8" x14ac:dyDescent="0.3">
      <c r="B434" s="60">
        <v>45420</v>
      </c>
      <c r="C434" s="62">
        <v>1540.85</v>
      </c>
      <c r="D434" s="63">
        <f t="shared" si="12"/>
        <v>-3.2706613515804062E-2</v>
      </c>
      <c r="F434" s="60">
        <v>45420</v>
      </c>
      <c r="G434" s="62">
        <v>22302.5</v>
      </c>
      <c r="H434" s="63">
        <f t="shared" si="13"/>
        <v>1.5712171239895323E-2</v>
      </c>
    </row>
    <row r="435" spans="2:8" x14ac:dyDescent="0.3">
      <c r="B435" s="60">
        <v>45419</v>
      </c>
      <c r="C435" s="62">
        <v>1542.15</v>
      </c>
      <c r="D435" s="63">
        <f t="shared" si="12"/>
        <v>8.4369017100960342E-4</v>
      </c>
      <c r="F435" s="60">
        <v>45419</v>
      </c>
      <c r="G435" s="62">
        <v>22302.5</v>
      </c>
      <c r="H435" s="63">
        <f t="shared" si="13"/>
        <v>0</v>
      </c>
    </row>
    <row r="436" spans="2:8" x14ac:dyDescent="0.3">
      <c r="B436" s="60">
        <v>45418</v>
      </c>
      <c r="C436" s="62">
        <v>1564.75</v>
      </c>
      <c r="D436" s="63">
        <f t="shared" si="12"/>
        <v>1.4654864961255232E-2</v>
      </c>
      <c r="F436" s="60">
        <v>45418</v>
      </c>
      <c r="G436" s="62">
        <v>22442.7</v>
      </c>
      <c r="H436" s="63">
        <f t="shared" si="13"/>
        <v>6.2862907745768748E-3</v>
      </c>
    </row>
    <row r="437" spans="2:8" x14ac:dyDescent="0.3">
      <c r="B437" s="60">
        <v>45415</v>
      </c>
      <c r="C437" s="62">
        <v>1597.05</v>
      </c>
      <c r="D437" s="63">
        <f t="shared" si="12"/>
        <v>2.0642275123821774E-2</v>
      </c>
      <c r="F437" s="60">
        <v>45415</v>
      </c>
      <c r="G437" s="62">
        <v>22475.85</v>
      </c>
      <c r="H437" s="63">
        <f t="shared" si="13"/>
        <v>1.4770950019382667E-3</v>
      </c>
    </row>
    <row r="438" spans="2:8" x14ac:dyDescent="0.3">
      <c r="B438" s="60">
        <v>45414</v>
      </c>
      <c r="C438" s="62">
        <v>1650.35</v>
      </c>
      <c r="D438" s="63">
        <f t="shared" si="12"/>
        <v>3.3374033374033329E-2</v>
      </c>
      <c r="F438" s="60">
        <v>45414</v>
      </c>
      <c r="G438" s="62">
        <v>22648.2</v>
      </c>
      <c r="H438" s="63">
        <f t="shared" si="13"/>
        <v>7.6682305674757867E-3</v>
      </c>
    </row>
    <row r="439" spans="2:8" x14ac:dyDescent="0.3">
      <c r="B439" s="60">
        <v>45412</v>
      </c>
      <c r="C439" s="62">
        <v>1651.25</v>
      </c>
      <c r="D439" s="63">
        <f t="shared" si="12"/>
        <v>5.4533886751295668E-4</v>
      </c>
      <c r="F439" s="60">
        <v>45412</v>
      </c>
      <c r="G439" s="62">
        <v>22604.85</v>
      </c>
      <c r="H439" s="63">
        <f t="shared" si="13"/>
        <v>-1.9140593954487528E-3</v>
      </c>
    </row>
    <row r="440" spans="2:8" x14ac:dyDescent="0.3">
      <c r="B440" s="60">
        <v>45411</v>
      </c>
      <c r="C440" s="62">
        <v>1734.05</v>
      </c>
      <c r="D440" s="63">
        <f t="shared" si="12"/>
        <v>5.0143830431491176E-2</v>
      </c>
      <c r="F440" s="60">
        <v>45411</v>
      </c>
      <c r="G440" s="62">
        <v>22643.4</v>
      </c>
      <c r="H440" s="63">
        <f t="shared" si="13"/>
        <v>1.7053862334854841E-3</v>
      </c>
    </row>
    <row r="441" spans="2:8" x14ac:dyDescent="0.3">
      <c r="B441" s="60">
        <v>45408</v>
      </c>
      <c r="C441" s="62">
        <v>1739.1</v>
      </c>
      <c r="D441" s="63">
        <f t="shared" si="12"/>
        <v>2.9122574320232797E-3</v>
      </c>
      <c r="F441" s="60">
        <v>45408</v>
      </c>
      <c r="G441" s="62">
        <v>22419.95</v>
      </c>
      <c r="H441" s="63">
        <f t="shared" si="13"/>
        <v>-9.868217670491175E-3</v>
      </c>
    </row>
    <row r="442" spans="2:8" x14ac:dyDescent="0.3">
      <c r="B442" s="60">
        <v>45407</v>
      </c>
      <c r="C442" s="62">
        <v>1747.65</v>
      </c>
      <c r="D442" s="63">
        <f t="shared" si="12"/>
        <v>4.9163360358808195E-3</v>
      </c>
      <c r="F442" s="60">
        <v>45407</v>
      </c>
      <c r="G442" s="62">
        <v>22570.35</v>
      </c>
      <c r="H442" s="63">
        <f t="shared" si="13"/>
        <v>6.7083111246901694E-3</v>
      </c>
    </row>
    <row r="443" spans="2:8" x14ac:dyDescent="0.3">
      <c r="B443" s="60">
        <v>45406</v>
      </c>
      <c r="C443" s="62">
        <v>1713.7</v>
      </c>
      <c r="D443" s="63">
        <f t="shared" si="12"/>
        <v>-1.9426086458959158E-2</v>
      </c>
      <c r="F443" s="60">
        <v>45406</v>
      </c>
      <c r="G443" s="62">
        <v>22402.400000000001</v>
      </c>
      <c r="H443" s="63">
        <f t="shared" si="13"/>
        <v>-7.4411783601050496E-3</v>
      </c>
    </row>
    <row r="444" spans="2:8" x14ac:dyDescent="0.3">
      <c r="B444" s="60">
        <v>45405</v>
      </c>
      <c r="C444" s="62">
        <v>1707.2</v>
      </c>
      <c r="D444" s="63">
        <f t="shared" si="12"/>
        <v>-3.7929625955535062E-3</v>
      </c>
      <c r="F444" s="60">
        <v>45405</v>
      </c>
      <c r="G444" s="62">
        <v>22368</v>
      </c>
      <c r="H444" s="63">
        <f t="shared" si="13"/>
        <v>-1.5355497625254566E-3</v>
      </c>
    </row>
    <row r="445" spans="2:8" x14ac:dyDescent="0.3">
      <c r="B445" s="60">
        <v>45404</v>
      </c>
      <c r="C445" s="62">
        <v>1671.65</v>
      </c>
      <c r="D445" s="63">
        <f t="shared" si="12"/>
        <v>-2.0823570759137766E-2</v>
      </c>
      <c r="F445" s="60">
        <v>45404</v>
      </c>
      <c r="G445" s="62">
        <v>22336.400000000001</v>
      </c>
      <c r="H445" s="63">
        <f t="shared" si="13"/>
        <v>-1.4127324749642067E-3</v>
      </c>
    </row>
    <row r="446" spans="2:8" x14ac:dyDescent="0.3">
      <c r="B446" s="60">
        <v>45401</v>
      </c>
      <c r="C446" s="62">
        <v>1650.8</v>
      </c>
      <c r="D446" s="63">
        <f t="shared" si="12"/>
        <v>-1.2472706607244421E-2</v>
      </c>
      <c r="F446" s="60">
        <v>45401</v>
      </c>
      <c r="G446" s="62">
        <v>22147</v>
      </c>
      <c r="H446" s="63">
        <f t="shared" si="13"/>
        <v>-8.479432674916354E-3</v>
      </c>
    </row>
    <row r="447" spans="2:8" x14ac:dyDescent="0.3">
      <c r="B447" s="60">
        <v>45400</v>
      </c>
      <c r="C447" s="62">
        <v>1636</v>
      </c>
      <c r="D447" s="63">
        <f t="shared" si="12"/>
        <v>-8.9653501332687124E-3</v>
      </c>
      <c r="F447" s="60">
        <v>45400</v>
      </c>
      <c r="G447" s="62">
        <v>21995.85</v>
      </c>
      <c r="H447" s="63">
        <f t="shared" si="13"/>
        <v>-6.824852124441283E-3</v>
      </c>
    </row>
    <row r="448" spans="2:8" x14ac:dyDescent="0.3">
      <c r="B448" s="60">
        <v>45398</v>
      </c>
      <c r="C448" s="62">
        <v>1661.55</v>
      </c>
      <c r="D448" s="63">
        <f t="shared" si="12"/>
        <v>1.5617359413202969E-2</v>
      </c>
      <c r="F448" s="60">
        <v>45398</v>
      </c>
      <c r="G448" s="62">
        <v>22147.9</v>
      </c>
      <c r="H448" s="63">
        <f t="shared" si="13"/>
        <v>6.9126676168460577E-3</v>
      </c>
    </row>
    <row r="449" spans="2:8" x14ac:dyDescent="0.3">
      <c r="B449" s="60">
        <v>45397</v>
      </c>
      <c r="C449" s="62">
        <v>1673.05</v>
      </c>
      <c r="D449" s="63">
        <f t="shared" si="12"/>
        <v>6.9212482320724078E-3</v>
      </c>
      <c r="F449" s="60">
        <v>45397</v>
      </c>
      <c r="G449" s="62">
        <v>22272.5</v>
      </c>
      <c r="H449" s="63">
        <f t="shared" si="13"/>
        <v>5.6258155400736864E-3</v>
      </c>
    </row>
    <row r="450" spans="2:8" x14ac:dyDescent="0.3">
      <c r="B450" s="60">
        <v>45394</v>
      </c>
      <c r="C450" s="62">
        <v>1679.9</v>
      </c>
      <c r="D450" s="63">
        <f t="shared" si="12"/>
        <v>4.0943187591524488E-3</v>
      </c>
      <c r="F450" s="60">
        <v>45394</v>
      </c>
      <c r="G450" s="62">
        <v>22519.4</v>
      </c>
      <c r="H450" s="63">
        <f t="shared" si="13"/>
        <v>1.1085419238971994E-2</v>
      </c>
    </row>
    <row r="451" spans="2:8" x14ac:dyDescent="0.3">
      <c r="B451" s="60">
        <v>45392</v>
      </c>
      <c r="C451" s="62">
        <v>1706.9</v>
      </c>
      <c r="D451" s="63">
        <f t="shared" si="12"/>
        <v>1.6072385261027389E-2</v>
      </c>
      <c r="F451" s="60">
        <v>45392</v>
      </c>
      <c r="G451" s="62">
        <v>22753.8</v>
      </c>
      <c r="H451" s="63">
        <f t="shared" si="13"/>
        <v>1.0408803076458417E-2</v>
      </c>
    </row>
    <row r="452" spans="2:8" x14ac:dyDescent="0.3">
      <c r="B452" s="60">
        <v>45391</v>
      </c>
      <c r="C452" s="62">
        <v>1713.2</v>
      </c>
      <c r="D452" s="63">
        <f t="shared" si="12"/>
        <v>3.6909016345421097E-3</v>
      </c>
      <c r="F452" s="60">
        <v>45391</v>
      </c>
      <c r="G452" s="62">
        <v>22642.75</v>
      </c>
      <c r="H452" s="63">
        <f t="shared" si="13"/>
        <v>-4.8805034763423905E-3</v>
      </c>
    </row>
    <row r="453" spans="2:8" x14ac:dyDescent="0.3">
      <c r="B453" s="60">
        <v>45390</v>
      </c>
      <c r="C453" s="62">
        <v>1714.05</v>
      </c>
      <c r="D453" s="63">
        <f t="shared" si="12"/>
        <v>4.9614756012128503E-4</v>
      </c>
      <c r="F453" s="60">
        <v>45390</v>
      </c>
      <c r="G453" s="62">
        <v>22666.3</v>
      </c>
      <c r="H453" s="63">
        <f t="shared" si="13"/>
        <v>1.0400680129400985E-3</v>
      </c>
    </row>
    <row r="454" spans="2:8" x14ac:dyDescent="0.3">
      <c r="B454" s="60">
        <v>45387</v>
      </c>
      <c r="C454" s="62">
        <v>1620.3</v>
      </c>
      <c r="D454" s="63">
        <f t="shared" si="12"/>
        <v>-5.4695020565327712E-2</v>
      </c>
      <c r="F454" s="60">
        <v>45387</v>
      </c>
      <c r="G454" s="62">
        <v>22513.7</v>
      </c>
      <c r="H454" s="63">
        <f t="shared" si="13"/>
        <v>-6.7324618486475085E-3</v>
      </c>
    </row>
    <row r="455" spans="2:8" x14ac:dyDescent="0.3">
      <c r="B455" s="60">
        <v>45386</v>
      </c>
      <c r="C455" s="62">
        <v>1635.3</v>
      </c>
      <c r="D455" s="63">
        <f t="shared" si="12"/>
        <v>9.2575448990928066E-3</v>
      </c>
      <c r="F455" s="60">
        <v>45386</v>
      </c>
      <c r="G455" s="62">
        <v>22514.65</v>
      </c>
      <c r="H455" s="63">
        <f t="shared" si="13"/>
        <v>4.2196529224547419E-5</v>
      </c>
    </row>
    <row r="456" spans="2:8" x14ac:dyDescent="0.3">
      <c r="B456" s="60">
        <v>45385</v>
      </c>
      <c r="C456" s="62">
        <v>1651.05</v>
      </c>
      <c r="D456" s="63">
        <f t="shared" si="12"/>
        <v>9.6312603192074686E-3</v>
      </c>
      <c r="F456" s="60">
        <v>45385</v>
      </c>
      <c r="G456" s="62">
        <v>22434.65</v>
      </c>
      <c r="H456" s="63">
        <f t="shared" si="13"/>
        <v>-3.5532420002087894E-3</v>
      </c>
    </row>
    <row r="457" spans="2:8" x14ac:dyDescent="0.3">
      <c r="B457" s="60">
        <v>45384</v>
      </c>
      <c r="C457" s="62">
        <v>1638.3</v>
      </c>
      <c r="D457" s="63">
        <f t="shared" ref="D457:D520" si="14">C457/C456-1</f>
        <v>-7.7223584991369387E-3</v>
      </c>
      <c r="F457" s="60">
        <v>45384</v>
      </c>
      <c r="G457" s="62">
        <v>22453.3</v>
      </c>
      <c r="H457" s="63">
        <f t="shared" ref="H457:H520" si="15">G457/G456-1</f>
        <v>8.3130336332404298E-4</v>
      </c>
    </row>
    <row r="458" spans="2:8" x14ac:dyDescent="0.3">
      <c r="B458" s="60">
        <v>45383</v>
      </c>
      <c r="C458" s="62">
        <v>1630</v>
      </c>
      <c r="D458" s="63">
        <f t="shared" si="14"/>
        <v>-5.0662271867178976E-3</v>
      </c>
      <c r="F458" s="60">
        <v>45383</v>
      </c>
      <c r="G458" s="62">
        <v>22462</v>
      </c>
      <c r="H458" s="63">
        <f t="shared" si="15"/>
        <v>3.8747088401258623E-4</v>
      </c>
    </row>
    <row r="459" spans="2:8" x14ac:dyDescent="0.3">
      <c r="B459" s="60">
        <v>45379</v>
      </c>
      <c r="C459" s="62">
        <v>1562.1</v>
      </c>
      <c r="D459" s="63">
        <f t="shared" si="14"/>
        <v>-4.1656441717791481E-2</v>
      </c>
      <c r="F459" s="60">
        <v>45379</v>
      </c>
      <c r="G459" s="62">
        <v>22326.9</v>
      </c>
      <c r="H459" s="63">
        <f t="shared" si="15"/>
        <v>-6.0146024396758868E-3</v>
      </c>
    </row>
    <row r="460" spans="2:8" x14ac:dyDescent="0.3">
      <c r="B460" s="60">
        <v>45378</v>
      </c>
      <c r="C460" s="62">
        <v>1566.55</v>
      </c>
      <c r="D460" s="63">
        <f t="shared" si="14"/>
        <v>2.8487292746943726E-3</v>
      </c>
      <c r="F460" s="60">
        <v>45378</v>
      </c>
      <c r="G460" s="62">
        <v>22123.65</v>
      </c>
      <c r="H460" s="63">
        <f t="shared" si="15"/>
        <v>-9.1033685822931032E-3</v>
      </c>
    </row>
    <row r="461" spans="2:8" x14ac:dyDescent="0.3">
      <c r="B461" s="60">
        <v>45377</v>
      </c>
      <c r="C461" s="62">
        <v>1535.75</v>
      </c>
      <c r="D461" s="63">
        <f t="shared" si="14"/>
        <v>-1.9661038587979962E-2</v>
      </c>
      <c r="F461" s="60">
        <v>45377</v>
      </c>
      <c r="G461" s="62">
        <v>22004.7</v>
      </c>
      <c r="H461" s="63">
        <f t="shared" si="15"/>
        <v>-5.3765992501237925E-3</v>
      </c>
    </row>
    <row r="462" spans="2:8" x14ac:dyDescent="0.3">
      <c r="B462" s="60">
        <v>45373</v>
      </c>
      <c r="C462" s="62">
        <v>1536.85</v>
      </c>
      <c r="D462" s="63">
        <f t="shared" si="14"/>
        <v>7.1626241250188905E-4</v>
      </c>
      <c r="F462" s="60">
        <v>45373</v>
      </c>
      <c r="G462" s="62">
        <v>22096.75</v>
      </c>
      <c r="H462" s="63">
        <f t="shared" si="15"/>
        <v>4.1831972260470973E-3</v>
      </c>
    </row>
    <row r="463" spans="2:8" x14ac:dyDescent="0.3">
      <c r="B463" s="60">
        <v>45372</v>
      </c>
      <c r="C463" s="62">
        <v>1515.5</v>
      </c>
      <c r="D463" s="63">
        <f t="shared" si="14"/>
        <v>-1.3892051924390691E-2</v>
      </c>
      <c r="F463" s="60">
        <v>45372</v>
      </c>
      <c r="G463" s="62">
        <v>22011.95</v>
      </c>
      <c r="H463" s="63">
        <f t="shared" si="15"/>
        <v>-3.8376684354033408E-3</v>
      </c>
    </row>
    <row r="464" spans="2:8" x14ac:dyDescent="0.3">
      <c r="B464" s="60">
        <v>45371</v>
      </c>
      <c r="C464" s="62">
        <v>1536.85</v>
      </c>
      <c r="D464" s="63">
        <f t="shared" si="14"/>
        <v>1.4087759815242462E-2</v>
      </c>
      <c r="F464" s="60">
        <v>45371</v>
      </c>
      <c r="G464" s="62">
        <v>21839.1</v>
      </c>
      <c r="H464" s="63">
        <f t="shared" si="15"/>
        <v>-7.8525528179013149E-3</v>
      </c>
    </row>
    <row r="465" spans="2:8" x14ac:dyDescent="0.3">
      <c r="B465" s="60">
        <v>45370</v>
      </c>
      <c r="C465" s="62">
        <v>1550.15</v>
      </c>
      <c r="D465" s="63">
        <f t="shared" si="14"/>
        <v>8.6540651332271956E-3</v>
      </c>
      <c r="F465" s="60">
        <v>45370</v>
      </c>
      <c r="G465" s="62">
        <v>21817.45</v>
      </c>
      <c r="H465" s="63">
        <f t="shared" si="15"/>
        <v>-9.9134121827360033E-4</v>
      </c>
    </row>
    <row r="466" spans="2:8" x14ac:dyDescent="0.3">
      <c r="B466" s="60">
        <v>45369</v>
      </c>
      <c r="C466" s="62">
        <v>1558.2</v>
      </c>
      <c r="D466" s="63">
        <f t="shared" si="14"/>
        <v>5.193045834274157E-3</v>
      </c>
      <c r="F466" s="60">
        <v>45369</v>
      </c>
      <c r="G466" s="62">
        <v>22055.7</v>
      </c>
      <c r="H466" s="63">
        <f t="shared" si="15"/>
        <v>1.0920157946964437E-2</v>
      </c>
    </row>
    <row r="467" spans="2:8" x14ac:dyDescent="0.3">
      <c r="B467" s="60">
        <v>45366</v>
      </c>
      <c r="C467" s="62">
        <v>1509.5</v>
      </c>
      <c r="D467" s="63">
        <f t="shared" si="14"/>
        <v>-3.125401103837766E-2</v>
      </c>
      <c r="F467" s="60">
        <v>45366</v>
      </c>
      <c r="G467" s="62">
        <v>22023.35</v>
      </c>
      <c r="H467" s="63">
        <f t="shared" si="15"/>
        <v>-1.4667410238624612E-3</v>
      </c>
    </row>
    <row r="468" spans="2:8" x14ac:dyDescent="0.3">
      <c r="B468" s="60">
        <v>45365</v>
      </c>
      <c r="C468" s="62">
        <v>1499.05</v>
      </c>
      <c r="D468" s="63">
        <f t="shared" si="14"/>
        <v>-6.9228221265319467E-3</v>
      </c>
      <c r="F468" s="60">
        <v>45365</v>
      </c>
      <c r="G468" s="62">
        <v>22146.65</v>
      </c>
      <c r="H468" s="63">
        <f t="shared" si="15"/>
        <v>5.5986033005879232E-3</v>
      </c>
    </row>
    <row r="469" spans="2:8" x14ac:dyDescent="0.3">
      <c r="B469" s="60">
        <v>45364</v>
      </c>
      <c r="C469" s="62">
        <v>1476.75</v>
      </c>
      <c r="D469" s="63">
        <f t="shared" si="14"/>
        <v>-1.4876088189186509E-2</v>
      </c>
      <c r="F469" s="60">
        <v>45364</v>
      </c>
      <c r="G469" s="62">
        <v>21997.7</v>
      </c>
      <c r="H469" s="63">
        <f t="shared" si="15"/>
        <v>-6.7256221595591859E-3</v>
      </c>
    </row>
    <row r="470" spans="2:8" x14ac:dyDescent="0.3">
      <c r="B470" s="60">
        <v>45363</v>
      </c>
      <c r="C470" s="62">
        <v>1499.95</v>
      </c>
      <c r="D470" s="63">
        <f t="shared" si="14"/>
        <v>1.5710174369392371E-2</v>
      </c>
      <c r="F470" s="60">
        <v>45363</v>
      </c>
      <c r="G470" s="62">
        <v>22335.7</v>
      </c>
      <c r="H470" s="63">
        <f t="shared" si="15"/>
        <v>1.5365242729921791E-2</v>
      </c>
    </row>
    <row r="471" spans="2:8" x14ac:dyDescent="0.3">
      <c r="B471" s="60">
        <v>45362</v>
      </c>
      <c r="C471" s="62">
        <v>1525.85</v>
      </c>
      <c r="D471" s="63">
        <f t="shared" si="14"/>
        <v>1.7267242241407965E-2</v>
      </c>
      <c r="F471" s="60">
        <v>45362</v>
      </c>
      <c r="G471" s="62">
        <v>22332.65</v>
      </c>
      <c r="H471" s="63">
        <f t="shared" si="15"/>
        <v>-1.3655269366974476E-4</v>
      </c>
    </row>
    <row r="472" spans="2:8" x14ac:dyDescent="0.3">
      <c r="B472" s="60">
        <v>45358</v>
      </c>
      <c r="C472" s="62">
        <v>1539.9</v>
      </c>
      <c r="D472" s="63">
        <f t="shared" si="14"/>
        <v>9.2079824360193907E-3</v>
      </c>
      <c r="F472" s="60">
        <v>45358</v>
      </c>
      <c r="G472" s="62">
        <v>22493.55</v>
      </c>
      <c r="H472" s="63">
        <f t="shared" si="15"/>
        <v>7.204698054193992E-3</v>
      </c>
    </row>
    <row r="473" spans="2:8" x14ac:dyDescent="0.3">
      <c r="B473" s="60">
        <v>45357</v>
      </c>
      <c r="C473" s="62">
        <v>1541.2</v>
      </c>
      <c r="D473" s="63">
        <f t="shared" si="14"/>
        <v>8.4421066302997616E-4</v>
      </c>
      <c r="F473" s="60">
        <v>45357</v>
      </c>
      <c r="G473" s="62">
        <v>22474.05</v>
      </c>
      <c r="H473" s="63">
        <f t="shared" si="15"/>
        <v>-8.6691518235226805E-4</v>
      </c>
    </row>
    <row r="474" spans="2:8" x14ac:dyDescent="0.3">
      <c r="B474" s="60">
        <v>45356</v>
      </c>
      <c r="C474" s="62">
        <v>1586.3</v>
      </c>
      <c r="D474" s="63">
        <f t="shared" si="14"/>
        <v>2.9262912016610354E-2</v>
      </c>
      <c r="F474" s="60">
        <v>45356</v>
      </c>
      <c r="G474" s="62">
        <v>22356.3</v>
      </c>
      <c r="H474" s="63">
        <f t="shared" si="15"/>
        <v>-5.2393760804126943E-3</v>
      </c>
    </row>
    <row r="475" spans="2:8" x14ac:dyDescent="0.3">
      <c r="B475" s="60">
        <v>45355</v>
      </c>
      <c r="C475" s="62">
        <v>1573.75</v>
      </c>
      <c r="D475" s="63">
        <f t="shared" si="14"/>
        <v>-7.9114921515476277E-3</v>
      </c>
      <c r="F475" s="60">
        <v>45355</v>
      </c>
      <c r="G475" s="62">
        <v>22405.599999999999</v>
      </c>
      <c r="H475" s="63">
        <f t="shared" si="15"/>
        <v>2.2051949562316153E-3</v>
      </c>
    </row>
    <row r="476" spans="2:8" x14ac:dyDescent="0.3">
      <c r="B476" s="60">
        <v>45353</v>
      </c>
      <c r="C476" s="62">
        <v>1573.1</v>
      </c>
      <c r="D476" s="63">
        <f t="shared" si="14"/>
        <v>-4.1302621127881078E-4</v>
      </c>
      <c r="F476" s="60">
        <v>45353</v>
      </c>
      <c r="G476" s="62">
        <v>22378.400000000001</v>
      </c>
      <c r="H476" s="63">
        <f t="shared" si="15"/>
        <v>-1.2139822187309246E-3</v>
      </c>
    </row>
    <row r="477" spans="2:8" x14ac:dyDescent="0.3">
      <c r="B477" s="60">
        <v>45352</v>
      </c>
      <c r="C477" s="62">
        <v>1568.7</v>
      </c>
      <c r="D477" s="63">
        <f t="shared" si="14"/>
        <v>-2.7970249825185478E-3</v>
      </c>
      <c r="F477" s="60">
        <v>45352</v>
      </c>
      <c r="G477" s="62">
        <v>22338.75</v>
      </c>
      <c r="H477" s="63">
        <f t="shared" si="15"/>
        <v>-1.7717978050263428E-3</v>
      </c>
    </row>
    <row r="478" spans="2:8" x14ac:dyDescent="0.3">
      <c r="B478" s="60">
        <v>45351</v>
      </c>
      <c r="C478" s="62">
        <v>1557.6</v>
      </c>
      <c r="D478" s="63">
        <f t="shared" si="14"/>
        <v>-7.0759227385733814E-3</v>
      </c>
      <c r="F478" s="60">
        <v>45351</v>
      </c>
      <c r="G478" s="62">
        <v>21982.799999999999</v>
      </c>
      <c r="H478" s="63">
        <f t="shared" si="15"/>
        <v>-1.5934195064629897E-2</v>
      </c>
    </row>
    <row r="479" spans="2:8" x14ac:dyDescent="0.3">
      <c r="B479" s="60">
        <v>45350</v>
      </c>
      <c r="C479" s="62">
        <v>1556.05</v>
      </c>
      <c r="D479" s="63">
        <f t="shared" si="14"/>
        <v>-9.9512069851048768E-4</v>
      </c>
      <c r="F479" s="60">
        <v>45350</v>
      </c>
      <c r="G479" s="62">
        <v>21951.15</v>
      </c>
      <c r="H479" s="63">
        <f t="shared" si="15"/>
        <v>-1.4397619957420282E-3</v>
      </c>
    </row>
    <row r="480" spans="2:8" x14ac:dyDescent="0.3">
      <c r="B480" s="60">
        <v>45349</v>
      </c>
      <c r="C480" s="62">
        <v>1569.15</v>
      </c>
      <c r="D480" s="63">
        <f t="shared" si="14"/>
        <v>8.4187526107772914E-3</v>
      </c>
      <c r="F480" s="60">
        <v>45349</v>
      </c>
      <c r="G480" s="62">
        <v>22198.35</v>
      </c>
      <c r="H480" s="63">
        <f t="shared" si="15"/>
        <v>1.1261368994335053E-2</v>
      </c>
    </row>
    <row r="481" spans="2:8" x14ac:dyDescent="0.3">
      <c r="B481" s="60">
        <v>45348</v>
      </c>
      <c r="C481" s="62">
        <v>1562.7</v>
      </c>
      <c r="D481" s="63">
        <f t="shared" si="14"/>
        <v>-4.1105056877928092E-3</v>
      </c>
      <c r="F481" s="60">
        <v>45348</v>
      </c>
      <c r="G481" s="62">
        <v>22122.05</v>
      </c>
      <c r="H481" s="63">
        <f t="shared" si="15"/>
        <v>-3.4371924039399149E-3</v>
      </c>
    </row>
    <row r="482" spans="2:8" x14ac:dyDescent="0.3">
      <c r="B482" s="60">
        <v>45345</v>
      </c>
      <c r="C482" s="62">
        <v>1580.35</v>
      </c>
      <c r="D482" s="63">
        <f t="shared" si="14"/>
        <v>1.1294554297049952E-2</v>
      </c>
      <c r="F482" s="60">
        <v>45345</v>
      </c>
      <c r="G482" s="62">
        <v>22212.7</v>
      </c>
      <c r="H482" s="63">
        <f t="shared" si="15"/>
        <v>4.0977215041102522E-3</v>
      </c>
    </row>
    <row r="483" spans="2:8" x14ac:dyDescent="0.3">
      <c r="B483" s="60">
        <v>45344</v>
      </c>
      <c r="C483" s="62">
        <v>1578.3</v>
      </c>
      <c r="D483" s="63">
        <f t="shared" si="14"/>
        <v>-1.2971810042079479E-3</v>
      </c>
      <c r="F483" s="60">
        <v>45344</v>
      </c>
      <c r="G483" s="62">
        <v>22217.45</v>
      </c>
      <c r="H483" s="63">
        <f t="shared" si="15"/>
        <v>2.1384163113902233E-4</v>
      </c>
    </row>
    <row r="484" spans="2:8" x14ac:dyDescent="0.3">
      <c r="B484" s="60">
        <v>45343</v>
      </c>
      <c r="C484" s="62">
        <v>1616.15</v>
      </c>
      <c r="D484" s="63">
        <f t="shared" si="14"/>
        <v>2.3981499081290103E-2</v>
      </c>
      <c r="F484" s="60">
        <v>45343</v>
      </c>
      <c r="G484" s="62">
        <v>22055.05</v>
      </c>
      <c r="H484" s="63">
        <f t="shared" si="15"/>
        <v>-7.3095697300995521E-3</v>
      </c>
    </row>
    <row r="485" spans="2:8" x14ac:dyDescent="0.3">
      <c r="B485" s="60">
        <v>45342</v>
      </c>
      <c r="C485" s="62">
        <v>1619.35</v>
      </c>
      <c r="D485" s="63">
        <f t="shared" si="14"/>
        <v>1.9800142313521896E-3</v>
      </c>
      <c r="F485" s="60">
        <v>45342</v>
      </c>
      <c r="G485" s="62">
        <v>22196.95</v>
      </c>
      <c r="H485" s="63">
        <f t="shared" si="15"/>
        <v>6.4339006259337417E-3</v>
      </c>
    </row>
    <row r="486" spans="2:8" x14ac:dyDescent="0.3">
      <c r="B486" s="60">
        <v>45341</v>
      </c>
      <c r="C486" s="62">
        <v>1608.7</v>
      </c>
      <c r="D486" s="63">
        <f t="shared" si="14"/>
        <v>-6.576712878624047E-3</v>
      </c>
      <c r="F486" s="60">
        <v>45341</v>
      </c>
      <c r="G486" s="62">
        <v>22122.25</v>
      </c>
      <c r="H486" s="63">
        <f t="shared" si="15"/>
        <v>-3.3653272183791216E-3</v>
      </c>
    </row>
    <row r="487" spans="2:8" x14ac:dyDescent="0.3">
      <c r="B487" s="60">
        <v>45338</v>
      </c>
      <c r="C487" s="62">
        <v>1614.25</v>
      </c>
      <c r="D487" s="63">
        <f t="shared" si="14"/>
        <v>3.4499906757008425E-3</v>
      </c>
      <c r="F487" s="60">
        <v>45338</v>
      </c>
      <c r="G487" s="62">
        <v>22040.7</v>
      </c>
      <c r="H487" s="63">
        <f t="shared" si="15"/>
        <v>-3.6863338946083735E-3</v>
      </c>
    </row>
    <row r="488" spans="2:8" x14ac:dyDescent="0.3">
      <c r="B488" s="60">
        <v>45337</v>
      </c>
      <c r="C488" s="62">
        <v>1599.9</v>
      </c>
      <c r="D488" s="63">
        <f t="shared" si="14"/>
        <v>-8.8895772030354037E-3</v>
      </c>
      <c r="F488" s="60">
        <v>45337</v>
      </c>
      <c r="G488" s="62">
        <v>21910.75</v>
      </c>
      <c r="H488" s="63">
        <f t="shared" si="15"/>
        <v>-5.8959107469364058E-3</v>
      </c>
    </row>
    <row r="489" spans="2:8" x14ac:dyDescent="0.3">
      <c r="B489" s="60">
        <v>45336</v>
      </c>
      <c r="C489" s="62">
        <v>1620.55</v>
      </c>
      <c r="D489" s="63">
        <f t="shared" si="14"/>
        <v>1.2907056691043195E-2</v>
      </c>
      <c r="F489" s="60">
        <v>45336</v>
      </c>
      <c r="G489" s="62">
        <v>21840.05</v>
      </c>
      <c r="H489" s="63">
        <f t="shared" si="15"/>
        <v>-3.2267266068026768E-3</v>
      </c>
    </row>
    <row r="490" spans="2:8" x14ac:dyDescent="0.3">
      <c r="B490" s="60">
        <v>45335</v>
      </c>
      <c r="C490" s="62">
        <v>1567.95</v>
      </c>
      <c r="D490" s="63">
        <f t="shared" si="14"/>
        <v>-3.2458116071704013E-2</v>
      </c>
      <c r="F490" s="60">
        <v>45335</v>
      </c>
      <c r="G490" s="62">
        <v>21743.25</v>
      </c>
      <c r="H490" s="63">
        <f t="shared" si="15"/>
        <v>-4.4322242852007365E-3</v>
      </c>
    </row>
    <row r="491" spans="2:8" x14ac:dyDescent="0.3">
      <c r="B491" s="60">
        <v>45334</v>
      </c>
      <c r="C491" s="62">
        <v>1589.1</v>
      </c>
      <c r="D491" s="63">
        <f t="shared" si="14"/>
        <v>1.3488950540514688E-2</v>
      </c>
      <c r="F491" s="60">
        <v>45334</v>
      </c>
      <c r="G491" s="62">
        <v>21616.05</v>
      </c>
      <c r="H491" s="63">
        <f t="shared" si="15"/>
        <v>-5.8500914076782262E-3</v>
      </c>
    </row>
    <row r="492" spans="2:8" x14ac:dyDescent="0.3">
      <c r="B492" s="60">
        <v>45331</v>
      </c>
      <c r="C492" s="62">
        <v>1608.25</v>
      </c>
      <c r="D492" s="63">
        <f t="shared" si="14"/>
        <v>1.2050846391038927E-2</v>
      </c>
      <c r="F492" s="60">
        <v>45331</v>
      </c>
      <c r="G492" s="62">
        <v>21782.5</v>
      </c>
      <c r="H492" s="63">
        <f t="shared" si="15"/>
        <v>7.7002967702239911E-3</v>
      </c>
    </row>
    <row r="493" spans="2:8" x14ac:dyDescent="0.3">
      <c r="B493" s="60">
        <v>45330</v>
      </c>
      <c r="C493" s="62">
        <v>1638.5</v>
      </c>
      <c r="D493" s="63">
        <f t="shared" si="14"/>
        <v>1.8809264728742336E-2</v>
      </c>
      <c r="F493" s="60">
        <v>45330</v>
      </c>
      <c r="G493" s="62">
        <v>21717.95</v>
      </c>
      <c r="H493" s="63">
        <f t="shared" si="15"/>
        <v>-2.9633880408584945E-3</v>
      </c>
    </row>
    <row r="494" spans="2:8" x14ac:dyDescent="0.3">
      <c r="B494" s="60">
        <v>45329</v>
      </c>
      <c r="C494" s="62">
        <v>1617.6</v>
      </c>
      <c r="D494" s="63">
        <f t="shared" si="14"/>
        <v>-1.2755569118095833E-2</v>
      </c>
      <c r="F494" s="60">
        <v>45329</v>
      </c>
      <c r="G494" s="62">
        <v>21930.5</v>
      </c>
      <c r="H494" s="63">
        <f t="shared" si="15"/>
        <v>9.7868353136461028E-3</v>
      </c>
    </row>
    <row r="495" spans="2:8" x14ac:dyDescent="0.3">
      <c r="B495" s="60">
        <v>45328</v>
      </c>
      <c r="C495" s="62">
        <v>1588.15</v>
      </c>
      <c r="D495" s="63">
        <f t="shared" si="14"/>
        <v>-1.8205984174084922E-2</v>
      </c>
      <c r="F495" s="60">
        <v>45328</v>
      </c>
      <c r="G495" s="62">
        <v>21929.4</v>
      </c>
      <c r="H495" s="63">
        <f t="shared" si="15"/>
        <v>-5.0158455119464485E-5</v>
      </c>
    </row>
    <row r="496" spans="2:8" x14ac:dyDescent="0.3">
      <c r="B496" s="60">
        <v>45327</v>
      </c>
      <c r="C496" s="62">
        <v>1583.65</v>
      </c>
      <c r="D496" s="63">
        <f t="shared" si="14"/>
        <v>-2.8334855019991334E-3</v>
      </c>
      <c r="F496" s="60">
        <v>45327</v>
      </c>
      <c r="G496" s="62">
        <v>21771.7</v>
      </c>
      <c r="H496" s="63">
        <f t="shared" si="15"/>
        <v>-7.1912592227786343E-3</v>
      </c>
    </row>
    <row r="497" spans="2:8" x14ac:dyDescent="0.3">
      <c r="B497" s="60">
        <v>45324</v>
      </c>
      <c r="C497" s="62">
        <v>1627.55</v>
      </c>
      <c r="D497" s="63">
        <f t="shared" si="14"/>
        <v>2.7720771635146635E-2</v>
      </c>
      <c r="F497" s="60">
        <v>45324</v>
      </c>
      <c r="G497" s="62">
        <v>21853.8</v>
      </c>
      <c r="H497" s="63">
        <f t="shared" si="15"/>
        <v>3.7709503621672358E-3</v>
      </c>
    </row>
    <row r="498" spans="2:8" x14ac:dyDescent="0.3">
      <c r="B498" s="60">
        <v>45323</v>
      </c>
      <c r="C498" s="62">
        <v>1629</v>
      </c>
      <c r="D498" s="63">
        <f t="shared" si="14"/>
        <v>8.9090964947313722E-4</v>
      </c>
      <c r="F498" s="60">
        <v>45323</v>
      </c>
      <c r="G498" s="62">
        <v>21697.45</v>
      </c>
      <c r="H498" s="63">
        <f t="shared" si="15"/>
        <v>-7.1543621704234228E-3</v>
      </c>
    </row>
    <row r="499" spans="2:8" x14ac:dyDescent="0.3">
      <c r="B499" s="60">
        <v>45322</v>
      </c>
      <c r="C499" s="62">
        <v>1641.25</v>
      </c>
      <c r="D499" s="63">
        <f t="shared" si="14"/>
        <v>7.5199508901167E-3</v>
      </c>
      <c r="F499" s="60">
        <v>45322</v>
      </c>
      <c r="G499" s="62">
        <v>21725.7</v>
      </c>
      <c r="H499" s="63">
        <f t="shared" si="15"/>
        <v>1.3019963175395777E-3</v>
      </c>
    </row>
    <row r="500" spans="2:8" x14ac:dyDescent="0.3">
      <c r="B500" s="60">
        <v>45321</v>
      </c>
      <c r="C500" s="62">
        <v>1660.3</v>
      </c>
      <c r="D500" s="63">
        <f t="shared" si="14"/>
        <v>1.1607006854531532E-2</v>
      </c>
      <c r="F500" s="60">
        <v>45321</v>
      </c>
      <c r="G500" s="62">
        <v>21522.1</v>
      </c>
      <c r="H500" s="63">
        <f t="shared" si="15"/>
        <v>-9.3713896445224432E-3</v>
      </c>
    </row>
    <row r="501" spans="2:8" x14ac:dyDescent="0.3">
      <c r="B501" s="60">
        <v>45320</v>
      </c>
      <c r="C501" s="62">
        <v>1646.7</v>
      </c>
      <c r="D501" s="63">
        <f t="shared" si="14"/>
        <v>-8.1912907305907723E-3</v>
      </c>
      <c r="F501" s="60">
        <v>45320</v>
      </c>
      <c r="G501" s="62">
        <v>21737.599999999999</v>
      </c>
      <c r="H501" s="63">
        <f t="shared" si="15"/>
        <v>1.0012963418997156E-2</v>
      </c>
    </row>
    <row r="502" spans="2:8" x14ac:dyDescent="0.3">
      <c r="B502" s="60">
        <v>45316</v>
      </c>
      <c r="C502" s="62">
        <v>1628.8</v>
      </c>
      <c r="D502" s="63">
        <f t="shared" si="14"/>
        <v>-1.0870225299083103E-2</v>
      </c>
      <c r="F502" s="60">
        <v>45316</v>
      </c>
      <c r="G502" s="62">
        <v>21352.6</v>
      </c>
      <c r="H502" s="63">
        <f t="shared" si="15"/>
        <v>-1.7711246871779829E-2</v>
      </c>
    </row>
    <row r="503" spans="2:8" x14ac:dyDescent="0.3">
      <c r="B503" s="60">
        <v>45315</v>
      </c>
      <c r="C503" s="62">
        <v>1658.5</v>
      </c>
      <c r="D503" s="63">
        <f t="shared" si="14"/>
        <v>1.8234282907662047E-2</v>
      </c>
      <c r="F503" s="60">
        <v>45315</v>
      </c>
      <c r="G503" s="62">
        <v>21453.95</v>
      </c>
      <c r="H503" s="63">
        <f t="shared" si="15"/>
        <v>4.7464945720896434E-3</v>
      </c>
    </row>
    <row r="504" spans="2:8" x14ac:dyDescent="0.3">
      <c r="B504" s="60">
        <v>45314</v>
      </c>
      <c r="C504" s="62">
        <v>1666.3</v>
      </c>
      <c r="D504" s="63">
        <f t="shared" si="14"/>
        <v>4.7030449201084235E-3</v>
      </c>
      <c r="F504" s="60">
        <v>45314</v>
      </c>
      <c r="G504" s="62">
        <v>21238.799999999999</v>
      </c>
      <c r="H504" s="63">
        <f t="shared" si="15"/>
        <v>-1.0028456298257549E-2</v>
      </c>
    </row>
    <row r="505" spans="2:8" x14ac:dyDescent="0.3">
      <c r="B505" s="60">
        <v>45311</v>
      </c>
      <c r="C505" s="62">
        <v>1700</v>
      </c>
      <c r="D505" s="63">
        <f t="shared" si="14"/>
        <v>2.0224449378863474E-2</v>
      </c>
      <c r="F505" s="60">
        <v>45311</v>
      </c>
      <c r="G505" s="62">
        <v>21571.8</v>
      </c>
      <c r="H505" s="63">
        <f t="shared" si="15"/>
        <v>1.5678851912537484E-2</v>
      </c>
    </row>
    <row r="506" spans="2:8" x14ac:dyDescent="0.3">
      <c r="B506" s="60">
        <v>45310</v>
      </c>
      <c r="C506" s="62">
        <v>1663.05</v>
      </c>
      <c r="D506" s="63">
        <f t="shared" si="14"/>
        <v>-2.1735294117647075E-2</v>
      </c>
      <c r="F506" s="60">
        <v>45310</v>
      </c>
      <c r="G506" s="62">
        <v>21622.400000000001</v>
      </c>
      <c r="H506" s="63">
        <f t="shared" si="15"/>
        <v>2.3456549754774514E-3</v>
      </c>
    </row>
    <row r="507" spans="2:8" x14ac:dyDescent="0.3">
      <c r="B507" s="60">
        <v>45309</v>
      </c>
      <c r="C507" s="62">
        <v>1698.3</v>
      </c>
      <c r="D507" s="63">
        <f t="shared" si="14"/>
        <v>2.1195995309822413E-2</v>
      </c>
      <c r="F507" s="60">
        <v>45309</v>
      </c>
      <c r="G507" s="62">
        <v>21462.25</v>
      </c>
      <c r="H507" s="63">
        <f t="shared" si="15"/>
        <v>-7.4066708598491404E-3</v>
      </c>
    </row>
    <row r="508" spans="2:8" x14ac:dyDescent="0.3">
      <c r="B508" s="60">
        <v>45308</v>
      </c>
      <c r="C508" s="62">
        <v>1707.9</v>
      </c>
      <c r="D508" s="63">
        <f t="shared" si="14"/>
        <v>5.6527115350646362E-3</v>
      </c>
      <c r="F508" s="60">
        <v>45308</v>
      </c>
      <c r="G508" s="62">
        <v>21571.95</v>
      </c>
      <c r="H508" s="63">
        <f t="shared" si="15"/>
        <v>5.1113000733846725E-3</v>
      </c>
    </row>
    <row r="509" spans="2:8" x14ac:dyDescent="0.3">
      <c r="B509" s="60">
        <v>45307</v>
      </c>
      <c r="C509" s="62">
        <v>1662.8</v>
      </c>
      <c r="D509" s="63">
        <f t="shared" si="14"/>
        <v>-2.6406698284442975E-2</v>
      </c>
      <c r="F509" s="60">
        <v>45307</v>
      </c>
      <c r="G509" s="62">
        <v>22032.3</v>
      </c>
      <c r="H509" s="63">
        <f t="shared" si="15"/>
        <v>2.1340212637244171E-2</v>
      </c>
    </row>
    <row r="510" spans="2:8" x14ac:dyDescent="0.3">
      <c r="B510" s="60">
        <v>45306</v>
      </c>
      <c r="C510" s="62">
        <v>1659.3</v>
      </c>
      <c r="D510" s="63">
        <f t="shared" si="14"/>
        <v>-2.1048833293240143E-3</v>
      </c>
      <c r="F510" s="60">
        <v>45306</v>
      </c>
      <c r="G510" s="62">
        <v>22097.45</v>
      </c>
      <c r="H510" s="63">
        <f t="shared" si="15"/>
        <v>2.9570221901482618E-3</v>
      </c>
    </row>
    <row r="511" spans="2:8" x14ac:dyDescent="0.3">
      <c r="B511" s="60">
        <v>45303</v>
      </c>
      <c r="C511" s="62">
        <v>1685.55</v>
      </c>
      <c r="D511" s="63">
        <f t="shared" si="14"/>
        <v>1.5819924064364388E-2</v>
      </c>
      <c r="F511" s="60">
        <v>45303</v>
      </c>
      <c r="G511" s="62">
        <v>21894.55</v>
      </c>
      <c r="H511" s="63">
        <f t="shared" si="15"/>
        <v>-9.1820549429911802E-3</v>
      </c>
    </row>
    <row r="512" spans="2:8" x14ac:dyDescent="0.3">
      <c r="B512" s="60">
        <v>45302</v>
      </c>
      <c r="C512" s="62">
        <v>1690.55</v>
      </c>
      <c r="D512" s="63">
        <f t="shared" si="14"/>
        <v>2.9663907923229704E-3</v>
      </c>
      <c r="F512" s="60">
        <v>45302</v>
      </c>
      <c r="G512" s="62">
        <v>21647.200000000001</v>
      </c>
      <c r="H512" s="63">
        <f t="shared" si="15"/>
        <v>-1.1297331984443604E-2</v>
      </c>
    </row>
    <row r="513" spans="2:8" x14ac:dyDescent="0.3">
      <c r="B513" s="60">
        <v>45301</v>
      </c>
      <c r="C513" s="62">
        <v>1710.15</v>
      </c>
      <c r="D513" s="63">
        <f t="shared" si="14"/>
        <v>1.159385998639495E-2</v>
      </c>
      <c r="F513" s="60">
        <v>45301</v>
      </c>
      <c r="G513" s="62">
        <v>21618.7</v>
      </c>
      <c r="H513" s="63">
        <f t="shared" si="15"/>
        <v>-1.3165675006466815E-3</v>
      </c>
    </row>
    <row r="514" spans="2:8" x14ac:dyDescent="0.3">
      <c r="B514" s="60">
        <v>45300</v>
      </c>
      <c r="C514" s="62">
        <v>1706.9</v>
      </c>
      <c r="D514" s="63">
        <f t="shared" si="14"/>
        <v>-1.9004180919802716E-3</v>
      </c>
      <c r="F514" s="60">
        <v>45300</v>
      </c>
      <c r="G514" s="62">
        <v>21544.85</v>
      </c>
      <c r="H514" s="63">
        <f t="shared" si="15"/>
        <v>-3.4160240902553207E-3</v>
      </c>
    </row>
    <row r="515" spans="2:8" x14ac:dyDescent="0.3">
      <c r="B515" s="60">
        <v>45299</v>
      </c>
      <c r="C515" s="62">
        <v>1661.15</v>
      </c>
      <c r="D515" s="63">
        <f t="shared" si="14"/>
        <v>-2.6802976155603675E-2</v>
      </c>
      <c r="F515" s="60">
        <v>45299</v>
      </c>
      <c r="G515" s="62">
        <v>21513</v>
      </c>
      <c r="H515" s="63">
        <f t="shared" si="15"/>
        <v>-1.478311522243092E-3</v>
      </c>
    </row>
    <row r="516" spans="2:8" x14ac:dyDescent="0.3">
      <c r="B516" s="60">
        <v>45296</v>
      </c>
      <c r="C516" s="62">
        <v>1636.15</v>
      </c>
      <c r="D516" s="63">
        <f t="shared" si="14"/>
        <v>-1.5049814887276858E-2</v>
      </c>
      <c r="F516" s="60">
        <v>45296</v>
      </c>
      <c r="G516" s="62">
        <v>21710.799999999999</v>
      </c>
      <c r="H516" s="63">
        <f t="shared" si="15"/>
        <v>9.1944405708175303E-3</v>
      </c>
    </row>
    <row r="517" spans="2:8" x14ac:dyDescent="0.3">
      <c r="B517" s="60">
        <v>45295</v>
      </c>
      <c r="C517" s="62">
        <v>1657.75</v>
      </c>
      <c r="D517" s="63">
        <f t="shared" si="14"/>
        <v>1.3201723558353473E-2</v>
      </c>
      <c r="F517" s="60">
        <v>45295</v>
      </c>
      <c r="G517" s="62">
        <v>21658.6</v>
      </c>
      <c r="H517" s="63">
        <f t="shared" si="15"/>
        <v>-2.404333327192032E-3</v>
      </c>
    </row>
    <row r="518" spans="2:8" x14ac:dyDescent="0.3">
      <c r="B518" s="60">
        <v>45294</v>
      </c>
      <c r="C518" s="62">
        <v>1680.1</v>
      </c>
      <c r="D518" s="63">
        <f t="shared" si="14"/>
        <v>1.3482129392248465E-2</v>
      </c>
      <c r="F518" s="60">
        <v>45294</v>
      </c>
      <c r="G518" s="62">
        <v>21517.35</v>
      </c>
      <c r="H518" s="63">
        <f t="shared" si="15"/>
        <v>-6.5216588329809477E-3</v>
      </c>
    </row>
    <row r="519" spans="2:8" x14ac:dyDescent="0.3">
      <c r="B519" s="60">
        <v>45293</v>
      </c>
      <c r="C519" s="62">
        <v>1697.45</v>
      </c>
      <c r="D519" s="63">
        <f t="shared" si="14"/>
        <v>1.0326766263913045E-2</v>
      </c>
      <c r="F519" s="60">
        <v>45293</v>
      </c>
      <c r="G519" s="62">
        <v>21665.8</v>
      </c>
      <c r="H519" s="63">
        <f t="shared" si="15"/>
        <v>6.8990837626381474E-3</v>
      </c>
    </row>
    <row r="520" spans="2:8" x14ac:dyDescent="0.3">
      <c r="B520" s="60">
        <v>45292</v>
      </c>
      <c r="C520" s="62">
        <v>1706.1</v>
      </c>
      <c r="D520" s="63">
        <f t="shared" si="14"/>
        <v>5.0958791127866387E-3</v>
      </c>
      <c r="F520" s="60">
        <v>45292</v>
      </c>
      <c r="G520" s="62">
        <v>21741.9</v>
      </c>
      <c r="H520" s="63">
        <f t="shared" si="15"/>
        <v>3.5124481902353288E-3</v>
      </c>
    </row>
    <row r="521" spans="2:8" x14ac:dyDescent="0.3">
      <c r="B521" s="60">
        <v>45289</v>
      </c>
      <c r="C521" s="62">
        <v>1721.8</v>
      </c>
      <c r="D521" s="63">
        <f t="shared" ref="D521:D562" si="16">C521/C520-1</f>
        <v>9.2022741926029994E-3</v>
      </c>
      <c r="F521" s="60">
        <v>45289</v>
      </c>
      <c r="G521" s="62">
        <v>21731.4</v>
      </c>
      <c r="H521" s="63">
        <f t="shared" ref="H521:H562" si="17">G521/G520-1</f>
        <v>-4.8293847363845011E-4</v>
      </c>
    </row>
    <row r="522" spans="2:8" x14ac:dyDescent="0.3">
      <c r="B522" s="60">
        <v>45288</v>
      </c>
      <c r="C522" s="62">
        <v>1733</v>
      </c>
      <c r="D522" s="63">
        <f t="shared" si="16"/>
        <v>6.504820536647804E-3</v>
      </c>
      <c r="F522" s="60">
        <v>45288</v>
      </c>
      <c r="G522" s="62">
        <v>21778.7</v>
      </c>
      <c r="H522" s="63">
        <f t="shared" si="17"/>
        <v>2.1765739897106062E-3</v>
      </c>
    </row>
    <row r="523" spans="2:8" x14ac:dyDescent="0.3">
      <c r="B523" s="60">
        <v>45287</v>
      </c>
      <c r="C523" s="62">
        <v>1734.65</v>
      </c>
      <c r="D523" s="63">
        <f t="shared" si="16"/>
        <v>9.521061742643333E-4</v>
      </c>
      <c r="F523" s="60">
        <v>45287</v>
      </c>
      <c r="G523" s="62">
        <v>21654.75</v>
      </c>
      <c r="H523" s="63">
        <f t="shared" si="17"/>
        <v>-5.6913406218002116E-3</v>
      </c>
    </row>
    <row r="524" spans="2:8" x14ac:dyDescent="0.3">
      <c r="B524" s="60">
        <v>45286</v>
      </c>
      <c r="C524" s="62">
        <v>1752.45</v>
      </c>
      <c r="D524" s="63">
        <f t="shared" si="16"/>
        <v>1.0261436024558312E-2</v>
      </c>
      <c r="F524" s="60">
        <v>45286</v>
      </c>
      <c r="G524" s="62">
        <v>21441.35</v>
      </c>
      <c r="H524" s="63">
        <f t="shared" si="17"/>
        <v>-9.8546508271858402E-3</v>
      </c>
    </row>
    <row r="525" spans="2:8" x14ac:dyDescent="0.3">
      <c r="B525" s="60">
        <v>45282</v>
      </c>
      <c r="C525" s="62">
        <v>1754.2</v>
      </c>
      <c r="D525" s="63">
        <f t="shared" si="16"/>
        <v>9.9860195725987033E-4</v>
      </c>
      <c r="F525" s="60">
        <v>45282</v>
      </c>
      <c r="G525" s="62">
        <v>21349.4</v>
      </c>
      <c r="H525" s="63">
        <f t="shared" si="17"/>
        <v>-4.2884426586944357E-3</v>
      </c>
    </row>
    <row r="526" spans="2:8" x14ac:dyDescent="0.3">
      <c r="B526" s="60">
        <v>45281</v>
      </c>
      <c r="C526" s="62">
        <v>1770.4</v>
      </c>
      <c r="D526" s="63">
        <f t="shared" si="16"/>
        <v>9.2349789077641464E-3</v>
      </c>
      <c r="F526" s="60">
        <v>45281</v>
      </c>
      <c r="G526" s="62">
        <v>21255.05</v>
      </c>
      <c r="H526" s="63">
        <f t="shared" si="17"/>
        <v>-4.4193279436425259E-3</v>
      </c>
    </row>
    <row r="527" spans="2:8" x14ac:dyDescent="0.3">
      <c r="B527" s="60">
        <v>45280</v>
      </c>
      <c r="C527" s="62">
        <v>1725.3</v>
      </c>
      <c r="D527" s="63">
        <f t="shared" si="16"/>
        <v>-2.5474469046543269E-2</v>
      </c>
      <c r="F527" s="60">
        <v>45280</v>
      </c>
      <c r="G527" s="62">
        <v>21150.15</v>
      </c>
      <c r="H527" s="63">
        <f t="shared" si="17"/>
        <v>-4.9352977292453915E-3</v>
      </c>
    </row>
    <row r="528" spans="2:8" x14ac:dyDescent="0.3">
      <c r="B528" s="60">
        <v>45279</v>
      </c>
      <c r="C528" s="62">
        <v>1736.45</v>
      </c>
      <c r="D528" s="63">
        <f t="shared" si="16"/>
        <v>6.4626441778241617E-3</v>
      </c>
      <c r="F528" s="60">
        <v>45279</v>
      </c>
      <c r="G528" s="62">
        <v>21453.1</v>
      </c>
      <c r="H528" s="63">
        <f t="shared" si="17"/>
        <v>1.4323775481497547E-2</v>
      </c>
    </row>
    <row r="529" spans="2:8" x14ac:dyDescent="0.3">
      <c r="B529" s="60">
        <v>45278</v>
      </c>
      <c r="C529" s="62">
        <v>1719.1</v>
      </c>
      <c r="D529" s="63">
        <f t="shared" si="16"/>
        <v>-9.9916496299923274E-3</v>
      </c>
      <c r="F529" s="60">
        <v>45278</v>
      </c>
      <c r="G529" s="62">
        <v>21418.65</v>
      </c>
      <c r="H529" s="63">
        <f t="shared" si="17"/>
        <v>-1.6058285282778417E-3</v>
      </c>
    </row>
    <row r="530" spans="2:8" x14ac:dyDescent="0.3">
      <c r="B530" s="60">
        <v>45275</v>
      </c>
      <c r="C530" s="62">
        <v>1751.4</v>
      </c>
      <c r="D530" s="63">
        <f t="shared" si="16"/>
        <v>1.878890116921661E-2</v>
      </c>
      <c r="F530" s="60">
        <v>45275</v>
      </c>
      <c r="G530" s="62">
        <v>21456.65</v>
      </c>
      <c r="H530" s="63">
        <f t="shared" si="17"/>
        <v>1.7741547669904989E-3</v>
      </c>
    </row>
    <row r="531" spans="2:8" x14ac:dyDescent="0.3">
      <c r="B531" s="60">
        <v>45274</v>
      </c>
      <c r="C531" s="62">
        <v>1740.95</v>
      </c>
      <c r="D531" s="63">
        <f t="shared" si="16"/>
        <v>-5.9666552472308343E-3</v>
      </c>
      <c r="F531" s="60">
        <v>45274</v>
      </c>
      <c r="G531" s="62">
        <v>21182.7</v>
      </c>
      <c r="H531" s="63">
        <f t="shared" si="17"/>
        <v>-1.2767603516858461E-2</v>
      </c>
    </row>
    <row r="532" spans="2:8" x14ac:dyDescent="0.3">
      <c r="B532" s="60">
        <v>45273</v>
      </c>
      <c r="C532" s="62">
        <v>1758.4</v>
      </c>
      <c r="D532" s="63">
        <f t="shared" si="16"/>
        <v>1.0023263160917839E-2</v>
      </c>
      <c r="F532" s="60">
        <v>45273</v>
      </c>
      <c r="G532" s="62">
        <v>20926.349999999999</v>
      </c>
      <c r="H532" s="63">
        <f t="shared" si="17"/>
        <v>-1.2101856703819691E-2</v>
      </c>
    </row>
    <row r="533" spans="2:8" x14ac:dyDescent="0.3">
      <c r="B533" s="60">
        <v>45272</v>
      </c>
      <c r="C533" s="62">
        <v>1740.8</v>
      </c>
      <c r="D533" s="63">
        <f t="shared" si="16"/>
        <v>-1.0009099181073733E-2</v>
      </c>
      <c r="F533" s="60">
        <v>45272</v>
      </c>
      <c r="G533" s="62">
        <v>20906.400000000001</v>
      </c>
      <c r="H533" s="63">
        <f t="shared" si="17"/>
        <v>-9.5334351188802735E-4</v>
      </c>
    </row>
    <row r="534" spans="2:8" x14ac:dyDescent="0.3">
      <c r="B534" s="60">
        <v>45271</v>
      </c>
      <c r="C534" s="62">
        <v>1695.8</v>
      </c>
      <c r="D534" s="63">
        <f t="shared" si="16"/>
        <v>-2.5850183823529438E-2</v>
      </c>
      <c r="F534" s="60">
        <v>45271</v>
      </c>
      <c r="G534" s="62">
        <v>20997.1</v>
      </c>
      <c r="H534" s="63">
        <f t="shared" si="17"/>
        <v>4.3383844181683617E-3</v>
      </c>
    </row>
    <row r="535" spans="2:8" x14ac:dyDescent="0.3">
      <c r="B535" s="60">
        <v>45268</v>
      </c>
      <c r="C535" s="62">
        <v>1720.2</v>
      </c>
      <c r="D535" s="63">
        <f t="shared" si="16"/>
        <v>1.4388489208633226E-2</v>
      </c>
      <c r="F535" s="60">
        <v>45268</v>
      </c>
      <c r="G535" s="62">
        <v>20969.400000000001</v>
      </c>
      <c r="H535" s="63">
        <f t="shared" si="17"/>
        <v>-1.3192297984006007E-3</v>
      </c>
    </row>
    <row r="536" spans="2:8" x14ac:dyDescent="0.3">
      <c r="B536" s="60">
        <v>45267</v>
      </c>
      <c r="C536" s="62">
        <v>1766.1</v>
      </c>
      <c r="D536" s="63">
        <f t="shared" si="16"/>
        <v>2.6682943843739038E-2</v>
      </c>
      <c r="F536" s="60">
        <v>45267</v>
      </c>
      <c r="G536" s="62">
        <v>20901.150000000001</v>
      </c>
      <c r="H536" s="63">
        <f t="shared" si="17"/>
        <v>-3.2547426249678324E-3</v>
      </c>
    </row>
    <row r="537" spans="2:8" x14ac:dyDescent="0.3">
      <c r="B537" s="60">
        <v>45266</v>
      </c>
      <c r="C537" s="62">
        <v>1794.05</v>
      </c>
      <c r="D537" s="63">
        <f t="shared" si="16"/>
        <v>1.5825830926901041E-2</v>
      </c>
      <c r="F537" s="60">
        <v>45266</v>
      </c>
      <c r="G537" s="62">
        <v>20937.7</v>
      </c>
      <c r="H537" s="63">
        <f t="shared" si="17"/>
        <v>1.7487076069977459E-3</v>
      </c>
    </row>
    <row r="538" spans="2:8" x14ac:dyDescent="0.3">
      <c r="B538" s="60">
        <v>45265</v>
      </c>
      <c r="C538" s="62">
        <v>1844.4</v>
      </c>
      <c r="D538" s="63">
        <f t="shared" si="16"/>
        <v>2.8064992614475814E-2</v>
      </c>
      <c r="F538" s="60">
        <v>45265</v>
      </c>
      <c r="G538" s="62">
        <v>20855.099999999999</v>
      </c>
      <c r="H538" s="63">
        <f t="shared" si="17"/>
        <v>-3.9450369429308019E-3</v>
      </c>
    </row>
    <row r="539" spans="2:8" x14ac:dyDescent="0.3">
      <c r="B539" s="60">
        <v>45264</v>
      </c>
      <c r="C539" s="62">
        <v>1846.75</v>
      </c>
      <c r="D539" s="63">
        <f t="shared" si="16"/>
        <v>1.2741270873997124E-3</v>
      </c>
      <c r="F539" s="60">
        <v>45264</v>
      </c>
      <c r="G539" s="62">
        <v>20686.8</v>
      </c>
      <c r="H539" s="63">
        <f t="shared" si="17"/>
        <v>-8.069968496914437E-3</v>
      </c>
    </row>
    <row r="540" spans="2:8" x14ac:dyDescent="0.3">
      <c r="B540" s="60">
        <v>45261</v>
      </c>
      <c r="C540" s="62">
        <v>1862.3</v>
      </c>
      <c r="D540" s="63">
        <f t="shared" si="16"/>
        <v>8.4201976445106297E-3</v>
      </c>
      <c r="F540" s="60">
        <v>45261</v>
      </c>
      <c r="G540" s="62">
        <v>20267.900000000001</v>
      </c>
      <c r="H540" s="63">
        <f t="shared" si="17"/>
        <v>-2.024962778196715E-2</v>
      </c>
    </row>
    <row r="541" spans="2:8" x14ac:dyDescent="0.3">
      <c r="B541" s="60">
        <v>45260</v>
      </c>
      <c r="C541" s="62">
        <v>1854.1</v>
      </c>
      <c r="D541" s="63">
        <f t="shared" si="16"/>
        <v>-4.4031573860280337E-3</v>
      </c>
      <c r="F541" s="60">
        <v>45260</v>
      </c>
      <c r="G541" s="62">
        <v>20133.150000000001</v>
      </c>
      <c r="H541" s="63">
        <f t="shared" si="17"/>
        <v>-6.6484440913957554E-3</v>
      </c>
    </row>
    <row r="542" spans="2:8" x14ac:dyDescent="0.3">
      <c r="B542" s="60">
        <v>45259</v>
      </c>
      <c r="C542" s="62">
        <v>1822</v>
      </c>
      <c r="D542" s="63">
        <f t="shared" si="16"/>
        <v>-1.7312982039803582E-2</v>
      </c>
      <c r="F542" s="60">
        <v>45259</v>
      </c>
      <c r="G542" s="62">
        <v>20096.599999999999</v>
      </c>
      <c r="H542" s="63">
        <f t="shared" si="17"/>
        <v>-1.8154138820801746E-3</v>
      </c>
    </row>
    <row r="543" spans="2:8" x14ac:dyDescent="0.3">
      <c r="B543" s="60">
        <v>45258</v>
      </c>
      <c r="C543" s="62">
        <v>1807.2</v>
      </c>
      <c r="D543" s="63">
        <f t="shared" si="16"/>
        <v>-8.1229418221734351E-3</v>
      </c>
      <c r="F543" s="60">
        <v>45258</v>
      </c>
      <c r="G543" s="62">
        <v>19889.7</v>
      </c>
      <c r="H543" s="63">
        <f t="shared" si="17"/>
        <v>-1.0295273827413465E-2</v>
      </c>
    </row>
    <row r="544" spans="2:8" x14ac:dyDescent="0.3">
      <c r="B544" s="60">
        <v>45254</v>
      </c>
      <c r="C544" s="62">
        <v>1799.1</v>
      </c>
      <c r="D544" s="63">
        <f t="shared" si="16"/>
        <v>-4.4820717131475174E-3</v>
      </c>
      <c r="F544" s="60">
        <v>45254</v>
      </c>
      <c r="G544" s="62">
        <v>19794.7</v>
      </c>
      <c r="H544" s="63">
        <f t="shared" si="17"/>
        <v>-4.7763415235021478E-3</v>
      </c>
    </row>
    <row r="545" spans="2:8" x14ac:dyDescent="0.3">
      <c r="B545" s="60">
        <v>45253</v>
      </c>
      <c r="C545" s="62">
        <v>1837</v>
      </c>
      <c r="D545" s="63">
        <f t="shared" si="16"/>
        <v>2.1066088599855481E-2</v>
      </c>
      <c r="F545" s="60">
        <v>45253</v>
      </c>
      <c r="G545" s="62">
        <v>19802</v>
      </c>
      <c r="H545" s="63">
        <f t="shared" si="17"/>
        <v>3.6878558401998163E-4</v>
      </c>
    </row>
    <row r="546" spans="2:8" x14ac:dyDescent="0.3">
      <c r="B546" s="60">
        <v>45252</v>
      </c>
      <c r="C546" s="62">
        <v>1840.85</v>
      </c>
      <c r="D546" s="63">
        <f t="shared" si="16"/>
        <v>2.0958083832334218E-3</v>
      </c>
      <c r="F546" s="60">
        <v>45252</v>
      </c>
      <c r="G546" s="62">
        <v>19811.849999999999</v>
      </c>
      <c r="H546" s="63">
        <f t="shared" si="17"/>
        <v>4.974245025755053E-4</v>
      </c>
    </row>
    <row r="547" spans="2:8" x14ac:dyDescent="0.3">
      <c r="B547" s="60">
        <v>45251</v>
      </c>
      <c r="C547" s="62">
        <v>1857.05</v>
      </c>
      <c r="D547" s="63">
        <f t="shared" si="16"/>
        <v>8.8002824782029698E-3</v>
      </c>
      <c r="F547" s="60">
        <v>45251</v>
      </c>
      <c r="G547" s="62">
        <v>19783.400000000001</v>
      </c>
      <c r="H547" s="63">
        <f t="shared" si="17"/>
        <v>-1.4360092570858685E-3</v>
      </c>
    </row>
    <row r="548" spans="2:8" x14ac:dyDescent="0.3">
      <c r="B548" s="60">
        <v>45250</v>
      </c>
      <c r="C548" s="62">
        <v>1806.35</v>
      </c>
      <c r="D548" s="63">
        <f t="shared" si="16"/>
        <v>-2.7301365068253425E-2</v>
      </c>
      <c r="F548" s="60">
        <v>45250</v>
      </c>
      <c r="G548" s="62">
        <v>19694</v>
      </c>
      <c r="H548" s="63">
        <f t="shared" si="17"/>
        <v>-4.5189401215161018E-3</v>
      </c>
    </row>
    <row r="549" spans="2:8" x14ac:dyDescent="0.3">
      <c r="B549" s="60">
        <v>45247</v>
      </c>
      <c r="C549" s="62">
        <v>1755.65</v>
      </c>
      <c r="D549" s="63">
        <f t="shared" si="16"/>
        <v>-2.8067650233897012E-2</v>
      </c>
      <c r="F549" s="60">
        <v>45247</v>
      </c>
      <c r="G549" s="62">
        <v>19731.8</v>
      </c>
      <c r="H549" s="63">
        <f t="shared" si="17"/>
        <v>1.9193663044581033E-3</v>
      </c>
    </row>
    <row r="550" spans="2:8" x14ac:dyDescent="0.3">
      <c r="B550" s="60">
        <v>45246</v>
      </c>
      <c r="C550" s="62">
        <v>1786.7</v>
      </c>
      <c r="D550" s="63">
        <f t="shared" si="16"/>
        <v>1.7685757411784797E-2</v>
      </c>
      <c r="F550" s="60">
        <v>45246</v>
      </c>
      <c r="G550" s="62">
        <v>19765.2</v>
      </c>
      <c r="H550" s="63">
        <f t="shared" si="17"/>
        <v>1.6926990948622489E-3</v>
      </c>
    </row>
    <row r="551" spans="2:8" x14ac:dyDescent="0.3">
      <c r="B551" s="60">
        <v>45245</v>
      </c>
      <c r="C551" s="62">
        <v>1785.15</v>
      </c>
      <c r="D551" s="63">
        <f t="shared" si="16"/>
        <v>-8.6752112833710093E-4</v>
      </c>
      <c r="F551" s="60">
        <v>45245</v>
      </c>
      <c r="G551" s="62">
        <v>19675.45</v>
      </c>
      <c r="H551" s="63">
        <f t="shared" si="17"/>
        <v>-4.5408090988201533E-3</v>
      </c>
    </row>
    <row r="552" spans="2:8" x14ac:dyDescent="0.3">
      <c r="B552" s="60">
        <v>45243</v>
      </c>
      <c r="C552" s="62">
        <v>1765.45</v>
      </c>
      <c r="D552" s="63">
        <f t="shared" si="16"/>
        <v>-1.1035487213959638E-2</v>
      </c>
      <c r="F552" s="60">
        <v>45243</v>
      </c>
      <c r="G552" s="62">
        <v>19443.55</v>
      </c>
      <c r="H552" s="63">
        <f t="shared" si="17"/>
        <v>-1.1786261559456168E-2</v>
      </c>
    </row>
    <row r="553" spans="2:8" x14ac:dyDescent="0.3">
      <c r="B553" s="60">
        <v>45242</v>
      </c>
      <c r="C553" s="62">
        <v>1731</v>
      </c>
      <c r="D553" s="63">
        <f t="shared" si="16"/>
        <v>-1.9513438500099123E-2</v>
      </c>
      <c r="F553" s="60">
        <v>45242</v>
      </c>
      <c r="G553" s="62">
        <v>19525.55</v>
      </c>
      <c r="H553" s="63">
        <f t="shared" si="17"/>
        <v>4.2173368546380985E-3</v>
      </c>
    </row>
    <row r="554" spans="2:8" x14ac:dyDescent="0.3">
      <c r="B554" s="60">
        <v>45240</v>
      </c>
      <c r="C554" s="62">
        <v>1727.5</v>
      </c>
      <c r="D554" s="63">
        <f t="shared" si="16"/>
        <v>-2.021952628538437E-3</v>
      </c>
      <c r="F554" s="60">
        <v>45240</v>
      </c>
      <c r="G554" s="62">
        <v>19425.349999999999</v>
      </c>
      <c r="H554" s="63">
        <f t="shared" si="17"/>
        <v>-5.1317376463146935E-3</v>
      </c>
    </row>
    <row r="555" spans="2:8" x14ac:dyDescent="0.3">
      <c r="B555" s="60">
        <v>45239</v>
      </c>
      <c r="C555" s="62">
        <v>1756.2</v>
      </c>
      <c r="D555" s="63">
        <f t="shared" si="16"/>
        <v>1.6613603473227156E-2</v>
      </c>
      <c r="F555" s="60">
        <v>45239</v>
      </c>
      <c r="G555" s="62">
        <v>19395.3</v>
      </c>
      <c r="H555" s="63">
        <f t="shared" si="17"/>
        <v>-1.5469476740443966E-3</v>
      </c>
    </row>
    <row r="556" spans="2:8" x14ac:dyDescent="0.3">
      <c r="B556" s="60">
        <v>45238</v>
      </c>
      <c r="C556" s="62">
        <v>1735.95</v>
      </c>
      <c r="D556" s="63">
        <f t="shared" si="16"/>
        <v>-1.1530577382986018E-2</v>
      </c>
      <c r="F556" s="60">
        <v>45238</v>
      </c>
      <c r="G556" s="62">
        <v>19443.5</v>
      </c>
      <c r="H556" s="63">
        <f t="shared" si="17"/>
        <v>2.4851381520265559E-3</v>
      </c>
    </row>
    <row r="557" spans="2:8" x14ac:dyDescent="0.3">
      <c r="B557" s="60">
        <v>45237</v>
      </c>
      <c r="C557" s="62">
        <v>1715.55</v>
      </c>
      <c r="D557" s="63">
        <f t="shared" si="16"/>
        <v>-1.1751490538322029E-2</v>
      </c>
      <c r="F557" s="60">
        <v>45237</v>
      </c>
      <c r="G557" s="62">
        <v>19406.7</v>
      </c>
      <c r="H557" s="63">
        <f t="shared" si="17"/>
        <v>-1.8926633579344765E-3</v>
      </c>
    </row>
    <row r="558" spans="2:8" x14ac:dyDescent="0.3">
      <c r="B558" s="60">
        <v>45236</v>
      </c>
      <c r="C558" s="62">
        <v>1745.75</v>
      </c>
      <c r="D558" s="63">
        <f t="shared" si="16"/>
        <v>1.7603683949753757E-2</v>
      </c>
      <c r="F558" s="60">
        <v>45236</v>
      </c>
      <c r="G558" s="62">
        <v>19411.75</v>
      </c>
      <c r="H558" s="63">
        <f t="shared" si="17"/>
        <v>2.6021940876086447E-4</v>
      </c>
    </row>
    <row r="559" spans="2:8" x14ac:dyDescent="0.3">
      <c r="B559" s="60">
        <v>45233</v>
      </c>
      <c r="C559" s="62">
        <v>1737.3</v>
      </c>
      <c r="D559" s="63">
        <f t="shared" si="16"/>
        <v>-4.8403265072318735E-3</v>
      </c>
      <c r="F559" s="60">
        <v>45233</v>
      </c>
      <c r="G559" s="62">
        <v>19230.599999999999</v>
      </c>
      <c r="H559" s="63">
        <f t="shared" si="17"/>
        <v>-9.3319767666490971E-3</v>
      </c>
    </row>
    <row r="560" spans="2:8" x14ac:dyDescent="0.3">
      <c r="B560" s="60">
        <v>45232</v>
      </c>
      <c r="C560" s="62">
        <v>1703.2</v>
      </c>
      <c r="D560" s="63">
        <f t="shared" si="16"/>
        <v>-1.962815863696532E-2</v>
      </c>
      <c r="F560" s="60">
        <v>45232</v>
      </c>
      <c r="G560" s="62">
        <v>19133.25</v>
      </c>
      <c r="H560" s="63">
        <f>G560/G559-1</f>
        <v>-5.0622445477519484E-3</v>
      </c>
    </row>
    <row r="561" spans="2:8" x14ac:dyDescent="0.3">
      <c r="B561" s="60">
        <v>45231</v>
      </c>
      <c r="C561" s="62">
        <v>1695.55</v>
      </c>
      <c r="D561" s="63">
        <f t="shared" si="16"/>
        <v>-4.4915453264443572E-3</v>
      </c>
      <c r="F561" s="60">
        <v>45231</v>
      </c>
      <c r="G561" s="62">
        <v>18989.150000000001</v>
      </c>
      <c r="H561" s="63">
        <f t="shared" si="17"/>
        <v>-7.5313916872459252E-3</v>
      </c>
    </row>
    <row r="562" spans="2:8" x14ac:dyDescent="0.3">
      <c r="B562" s="60">
        <v>45230</v>
      </c>
      <c r="C562" s="62">
        <v>1670.7</v>
      </c>
      <c r="D562" s="63">
        <f t="shared" si="16"/>
        <v>-1.4656011323759155E-2</v>
      </c>
      <c r="F562" s="60">
        <v>45230</v>
      </c>
      <c r="G562" s="62">
        <v>19079.599999999999</v>
      </c>
      <c r="H562" s="63">
        <f t="shared" si="17"/>
        <v>4.7632463801696723E-3</v>
      </c>
    </row>
  </sheetData>
  <mergeCells count="3">
    <mergeCell ref="J4:K4"/>
    <mergeCell ref="B4:D4"/>
    <mergeCell ref="F4:H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84E7E-0745-4697-A10F-83C652C238D9}">
  <sheetPr>
    <tabColor rgb="FFFF0000"/>
  </sheetPr>
  <dimension ref="B2:G7"/>
  <sheetViews>
    <sheetView showGridLines="0" workbookViewId="0">
      <selection activeCell="G7" sqref="G7"/>
    </sheetView>
  </sheetViews>
  <sheetFormatPr defaultRowHeight="14.4" x14ac:dyDescent="0.3"/>
  <cols>
    <col min="1" max="1" width="1.88671875" customWidth="1"/>
    <col min="3" max="3" width="15.109375" bestFit="1" customWidth="1"/>
    <col min="4" max="4" width="10.109375" bestFit="1" customWidth="1"/>
    <col min="5" max="5" width="8.5546875" bestFit="1" customWidth="1"/>
    <col min="6" max="6" width="13.21875" bestFit="1" customWidth="1"/>
    <col min="7" max="7" width="15.33203125" bestFit="1" customWidth="1"/>
    <col min="18" max="18" width="5.44140625" bestFit="1" customWidth="1"/>
    <col min="19" max="19" width="15.109375" bestFit="1" customWidth="1"/>
  </cols>
  <sheetData>
    <row r="2" spans="2:7" x14ac:dyDescent="0.3">
      <c r="B2" t="s">
        <v>227</v>
      </c>
      <c r="C2" t="s">
        <v>228</v>
      </c>
      <c r="D2" t="s">
        <v>235</v>
      </c>
      <c r="E2" t="s">
        <v>229</v>
      </c>
      <c r="F2" t="s">
        <v>236</v>
      </c>
      <c r="G2" t="s">
        <v>237</v>
      </c>
    </row>
    <row r="3" spans="2:7" x14ac:dyDescent="0.3">
      <c r="B3">
        <v>1</v>
      </c>
      <c r="C3" t="s">
        <v>230</v>
      </c>
      <c r="D3">
        <v>1643.25</v>
      </c>
      <c r="E3">
        <v>0.67</v>
      </c>
      <c r="F3">
        <v>16428.580000000002</v>
      </c>
      <c r="G3">
        <v>1.61</v>
      </c>
    </row>
    <row r="4" spans="2:7" x14ac:dyDescent="0.3">
      <c r="B4">
        <v>2</v>
      </c>
      <c r="C4" t="s">
        <v>231</v>
      </c>
      <c r="D4">
        <v>1171.06</v>
      </c>
      <c r="E4">
        <v>1.03</v>
      </c>
      <c r="F4">
        <v>6378.69</v>
      </c>
      <c r="G4">
        <v>0.63</v>
      </c>
    </row>
    <row r="5" spans="2:7" x14ac:dyDescent="0.3">
      <c r="B5">
        <v>3</v>
      </c>
      <c r="C5" t="s">
        <v>232</v>
      </c>
      <c r="D5">
        <v>0</v>
      </c>
      <c r="E5">
        <v>0</v>
      </c>
      <c r="F5">
        <v>3688.41</v>
      </c>
      <c r="G5" s="67">
        <f>BETA!K8</f>
        <v>0.76064797443239973</v>
      </c>
    </row>
    <row r="6" spans="2:7" x14ac:dyDescent="0.3">
      <c r="B6">
        <v>4</v>
      </c>
      <c r="C6" t="s">
        <v>233</v>
      </c>
      <c r="D6">
        <v>542.29999999999995</v>
      </c>
      <c r="E6">
        <v>0.64</v>
      </c>
      <c r="F6">
        <v>2721.93</v>
      </c>
      <c r="G6">
        <v>1.33</v>
      </c>
    </row>
    <row r="7" spans="2:7" x14ac:dyDescent="0.3">
      <c r="B7">
        <v>5</v>
      </c>
      <c r="C7" t="s">
        <v>234</v>
      </c>
      <c r="D7">
        <v>412.63</v>
      </c>
      <c r="E7">
        <v>0.3</v>
      </c>
      <c r="F7">
        <v>2577.0100000000002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4D532-9C27-4353-98E5-6D45FA17FD64}">
  <sheetPr>
    <tabColor rgb="FFFF0000"/>
  </sheetPr>
  <dimension ref="B2:H30"/>
  <sheetViews>
    <sheetView showGridLines="0" workbookViewId="0">
      <selection activeCell="E10" sqref="E10"/>
    </sheetView>
  </sheetViews>
  <sheetFormatPr defaultRowHeight="14.4" x14ac:dyDescent="0.3"/>
  <cols>
    <col min="1" max="1" width="1.88671875" customWidth="1"/>
  </cols>
  <sheetData>
    <row r="2" spans="2:8" x14ac:dyDescent="0.3">
      <c r="B2" s="168" t="s">
        <v>244</v>
      </c>
      <c r="C2" s="168"/>
      <c r="D2" s="168"/>
      <c r="E2" s="168"/>
    </row>
    <row r="4" spans="2:8" x14ac:dyDescent="0.3">
      <c r="B4" s="9" t="s">
        <v>153</v>
      </c>
      <c r="C4" s="9" t="s">
        <v>240</v>
      </c>
      <c r="D4" s="9"/>
      <c r="E4" s="9"/>
      <c r="F4" s="9"/>
      <c r="G4" s="9"/>
      <c r="H4" s="9"/>
    </row>
    <row r="5" spans="2:8" x14ac:dyDescent="0.3">
      <c r="B5">
        <v>2000</v>
      </c>
      <c r="C5" s="63">
        <v>-0.14649999999999999</v>
      </c>
      <c r="F5" t="s">
        <v>241</v>
      </c>
      <c r="H5" s="28">
        <f>AVERAGE(C5:C30)</f>
        <v>0.1514923076923077</v>
      </c>
    </row>
    <row r="6" spans="2:8" x14ac:dyDescent="0.3">
      <c r="B6">
        <v>2001</v>
      </c>
      <c r="C6" s="63">
        <v>-0.1618</v>
      </c>
      <c r="F6" t="s">
        <v>242</v>
      </c>
      <c r="H6" s="28">
        <v>1.2800000000000001E-2</v>
      </c>
    </row>
    <row r="7" spans="2:8" x14ac:dyDescent="0.3">
      <c r="B7">
        <v>2002</v>
      </c>
      <c r="C7" s="63">
        <v>3.2500000000000001E-2</v>
      </c>
      <c r="F7" t="s">
        <v>243</v>
      </c>
      <c r="H7" s="84">
        <f>SUM(H5:H6)</f>
        <v>0.16429230769230771</v>
      </c>
    </row>
    <row r="8" spans="2:8" x14ac:dyDescent="0.3">
      <c r="B8">
        <v>2003</v>
      </c>
      <c r="C8" s="63">
        <v>0.71900000000000008</v>
      </c>
    </row>
    <row r="9" spans="2:8" x14ac:dyDescent="0.3">
      <c r="B9">
        <v>2004</v>
      </c>
      <c r="C9" s="63">
        <v>0.10679999999999999</v>
      </c>
    </row>
    <row r="10" spans="2:8" x14ac:dyDescent="0.3">
      <c r="B10">
        <v>2005</v>
      </c>
      <c r="C10" s="63">
        <v>0.36340000000000006</v>
      </c>
    </row>
    <row r="11" spans="2:8" x14ac:dyDescent="0.3">
      <c r="B11">
        <v>2006</v>
      </c>
      <c r="C11" s="63">
        <v>0.39829999999999999</v>
      </c>
    </row>
    <row r="12" spans="2:8" x14ac:dyDescent="0.3">
      <c r="B12">
        <v>2007</v>
      </c>
      <c r="C12" s="63">
        <v>0.54770000000000008</v>
      </c>
    </row>
    <row r="13" spans="2:8" x14ac:dyDescent="0.3">
      <c r="B13">
        <v>2008</v>
      </c>
      <c r="C13" s="63">
        <v>-0.51790000000000003</v>
      </c>
    </row>
    <row r="14" spans="2:8" x14ac:dyDescent="0.3">
      <c r="B14">
        <v>2009</v>
      </c>
      <c r="C14" s="63">
        <v>0.75760000000000005</v>
      </c>
    </row>
    <row r="15" spans="2:8" x14ac:dyDescent="0.3">
      <c r="B15">
        <v>2010</v>
      </c>
      <c r="C15" s="63">
        <v>0.17949999999999999</v>
      </c>
    </row>
    <row r="16" spans="2:8" x14ac:dyDescent="0.3">
      <c r="B16">
        <v>2011</v>
      </c>
      <c r="C16" s="63">
        <v>-0.2462</v>
      </c>
    </row>
    <row r="17" spans="2:3" x14ac:dyDescent="0.3">
      <c r="B17">
        <v>2012</v>
      </c>
      <c r="C17" s="63">
        <v>0.27699999999999997</v>
      </c>
    </row>
    <row r="18" spans="2:3" x14ac:dyDescent="0.3">
      <c r="B18">
        <v>2013</v>
      </c>
      <c r="C18" s="63">
        <v>6.7599999999999993E-2</v>
      </c>
    </row>
    <row r="19" spans="2:3" x14ac:dyDescent="0.3">
      <c r="B19">
        <v>2014</v>
      </c>
      <c r="C19" s="63">
        <v>0.31390000000000001</v>
      </c>
    </row>
    <row r="20" spans="2:3" x14ac:dyDescent="0.3">
      <c r="B20">
        <v>2015</v>
      </c>
      <c r="C20" s="63">
        <v>-4.0599999999999997E-2</v>
      </c>
    </row>
    <row r="21" spans="2:3" x14ac:dyDescent="0.3">
      <c r="B21">
        <v>2016</v>
      </c>
      <c r="C21" s="63">
        <v>3.0099999999999998E-2</v>
      </c>
    </row>
    <row r="22" spans="2:3" x14ac:dyDescent="0.3">
      <c r="B22">
        <v>2017</v>
      </c>
      <c r="C22" s="63">
        <v>0.28649999999999998</v>
      </c>
    </row>
    <row r="23" spans="2:3" x14ac:dyDescent="0.3">
      <c r="B23">
        <v>2018</v>
      </c>
      <c r="C23" s="63">
        <v>3.15E-2</v>
      </c>
    </row>
    <row r="24" spans="2:3" x14ac:dyDescent="0.3">
      <c r="B24">
        <v>2019</v>
      </c>
      <c r="C24" s="63">
        <v>0.1202</v>
      </c>
    </row>
    <row r="25" spans="2:3" x14ac:dyDescent="0.3">
      <c r="B25">
        <v>2020</v>
      </c>
      <c r="C25" s="63">
        <v>0.14899999999999999</v>
      </c>
    </row>
    <row r="26" spans="2:3" x14ac:dyDescent="0.3">
      <c r="B26">
        <v>2021</v>
      </c>
      <c r="C26" s="63">
        <v>0.2412</v>
      </c>
    </row>
    <row r="27" spans="2:3" x14ac:dyDescent="0.3">
      <c r="B27">
        <v>2022</v>
      </c>
      <c r="C27" s="63">
        <v>4.3200000000000002E-2</v>
      </c>
    </row>
    <row r="28" spans="2:3" x14ac:dyDescent="0.3">
      <c r="B28">
        <v>2023</v>
      </c>
      <c r="C28" s="63">
        <v>0.19420000000000001</v>
      </c>
    </row>
    <row r="29" spans="2:3" x14ac:dyDescent="0.3">
      <c r="B29">
        <v>2024</v>
      </c>
      <c r="C29" s="63">
        <v>8.7499999999999994E-2</v>
      </c>
    </row>
    <row r="30" spans="2:3" x14ac:dyDescent="0.3">
      <c r="B30">
        <v>2025</v>
      </c>
      <c r="C30" s="63">
        <v>0.1051</v>
      </c>
    </row>
  </sheetData>
  <mergeCells count="1">
    <mergeCell ref="B2:E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B94C-CAB5-470B-9523-6E94AEE44E6B}">
  <sheetPr>
    <tabColor rgb="FFFF0000"/>
  </sheetPr>
  <dimension ref="B2:L29"/>
  <sheetViews>
    <sheetView workbookViewId="0">
      <selection activeCell="P18" sqref="P18"/>
    </sheetView>
  </sheetViews>
  <sheetFormatPr defaultRowHeight="14.4" x14ac:dyDescent="0.3"/>
  <cols>
    <col min="2" max="2" width="25.77734375" bestFit="1" customWidth="1"/>
  </cols>
  <sheetData>
    <row r="2" spans="2:12" x14ac:dyDescent="0.3">
      <c r="C2" s="25">
        <v>42430</v>
      </c>
      <c r="D2" s="25">
        <v>42795</v>
      </c>
      <c r="E2" s="25">
        <v>43160</v>
      </c>
      <c r="F2" s="25">
        <v>43525</v>
      </c>
      <c r="G2" s="25">
        <v>43891</v>
      </c>
      <c r="H2" s="25">
        <v>44256</v>
      </c>
      <c r="I2" s="25">
        <v>44621</v>
      </c>
      <c r="J2" s="25">
        <v>44986</v>
      </c>
      <c r="K2" s="25">
        <v>45352</v>
      </c>
      <c r="L2" s="25">
        <v>45717</v>
      </c>
    </row>
    <row r="3" spans="2:12" x14ac:dyDescent="0.3">
      <c r="B3" t="s">
        <v>109</v>
      </c>
      <c r="C3">
        <v>11</v>
      </c>
      <c r="D3">
        <v>26</v>
      </c>
      <c r="E3">
        <v>19</v>
      </c>
      <c r="F3">
        <v>28</v>
      </c>
      <c r="G3">
        <v>66</v>
      </c>
      <c r="H3">
        <v>79</v>
      </c>
      <c r="I3">
        <v>6</v>
      </c>
      <c r="J3">
        <v>66</v>
      </c>
      <c r="K3">
        <v>109</v>
      </c>
      <c r="L3">
        <v>107</v>
      </c>
    </row>
    <row r="4" spans="2:12" x14ac:dyDescent="0.3">
      <c r="B4" t="s">
        <v>89</v>
      </c>
      <c r="C4">
        <v>31</v>
      </c>
      <c r="D4">
        <v>45</v>
      </c>
      <c r="E4">
        <v>45</v>
      </c>
      <c r="F4">
        <v>78</v>
      </c>
      <c r="G4">
        <v>78</v>
      </c>
      <c r="H4">
        <v>98</v>
      </c>
      <c r="I4">
        <v>100</v>
      </c>
      <c r="J4">
        <v>151</v>
      </c>
      <c r="K4">
        <v>185</v>
      </c>
      <c r="L4">
        <v>188</v>
      </c>
    </row>
    <row r="5" spans="2:12" x14ac:dyDescent="0.3">
      <c r="B5" t="s">
        <v>40</v>
      </c>
      <c r="C5">
        <v>-7</v>
      </c>
      <c r="D5">
        <v>-10</v>
      </c>
      <c r="E5">
        <v>-22</v>
      </c>
      <c r="F5">
        <v>-23</v>
      </c>
      <c r="G5">
        <v>-7</v>
      </c>
      <c r="H5">
        <v>-14</v>
      </c>
      <c r="I5">
        <v>-20</v>
      </c>
      <c r="J5">
        <v>-7</v>
      </c>
      <c r="K5">
        <v>-39</v>
      </c>
      <c r="L5">
        <v>-43</v>
      </c>
    </row>
    <row r="6" spans="2:12" x14ac:dyDescent="0.3">
      <c r="B6" t="s">
        <v>41</v>
      </c>
      <c r="C6">
        <v>-18</v>
      </c>
      <c r="D6">
        <v>-11</v>
      </c>
      <c r="E6">
        <v>-5</v>
      </c>
      <c r="F6">
        <v>-5</v>
      </c>
      <c r="G6">
        <v>0</v>
      </c>
      <c r="H6">
        <v>-5</v>
      </c>
      <c r="I6">
        <v>-61</v>
      </c>
      <c r="J6">
        <v>-27</v>
      </c>
      <c r="K6">
        <v>15</v>
      </c>
      <c r="L6">
        <v>-40</v>
      </c>
    </row>
    <row r="7" spans="2:12" x14ac:dyDescent="0.3">
      <c r="B7" t="s">
        <v>90</v>
      </c>
      <c r="C7">
        <v>7</v>
      </c>
      <c r="D7">
        <v>9</v>
      </c>
      <c r="E7">
        <v>12</v>
      </c>
      <c r="F7">
        <v>-12</v>
      </c>
      <c r="G7">
        <v>13</v>
      </c>
      <c r="H7">
        <v>17</v>
      </c>
      <c r="I7">
        <v>10</v>
      </c>
      <c r="J7">
        <v>-25</v>
      </c>
      <c r="K7">
        <v>-4</v>
      </c>
      <c r="L7">
        <v>9</v>
      </c>
    </row>
    <row r="8" spans="2:12" x14ac:dyDescent="0.3">
      <c r="B8" t="s">
        <v>91</v>
      </c>
      <c r="C8">
        <v>-4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2:12" x14ac:dyDescent="0.3">
      <c r="B9" t="s">
        <v>92</v>
      </c>
      <c r="C9">
        <v>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-4</v>
      </c>
      <c r="L9">
        <v>38</v>
      </c>
    </row>
    <row r="10" spans="2:12" x14ac:dyDescent="0.3">
      <c r="B10" t="s">
        <v>93</v>
      </c>
      <c r="C10">
        <v>-14</v>
      </c>
      <c r="D10">
        <v>-12</v>
      </c>
      <c r="E10">
        <v>-15</v>
      </c>
      <c r="F10">
        <v>-41</v>
      </c>
      <c r="G10">
        <v>6</v>
      </c>
      <c r="H10">
        <v>-2</v>
      </c>
      <c r="I10">
        <v>-71</v>
      </c>
      <c r="J10">
        <v>-59</v>
      </c>
      <c r="K10">
        <v>-33</v>
      </c>
      <c r="L10">
        <v>-36</v>
      </c>
    </row>
    <row r="11" spans="2:12" x14ac:dyDescent="0.3">
      <c r="B11" t="s">
        <v>94</v>
      </c>
      <c r="C11">
        <v>-5</v>
      </c>
      <c r="D11">
        <v>-8</v>
      </c>
      <c r="E11">
        <v>-11</v>
      </c>
      <c r="F11">
        <v>-9</v>
      </c>
      <c r="G11">
        <v>-17</v>
      </c>
      <c r="H11">
        <v>-17</v>
      </c>
      <c r="I11">
        <v>-19</v>
      </c>
      <c r="J11">
        <v>-26</v>
      </c>
      <c r="K11">
        <v>-43</v>
      </c>
      <c r="L11">
        <v>-44</v>
      </c>
    </row>
    <row r="12" spans="2:12" x14ac:dyDescent="0.3">
      <c r="B12" t="s">
        <v>95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-4</v>
      </c>
      <c r="J12">
        <v>0</v>
      </c>
      <c r="K12">
        <v>0</v>
      </c>
      <c r="L12">
        <v>0</v>
      </c>
    </row>
    <row r="13" spans="2:12" s="26" customFormat="1" x14ac:dyDescent="0.3">
      <c r="C13" s="26">
        <f>SUM(C3:C12)</f>
        <v>9</v>
      </c>
      <c r="D13" s="26">
        <f t="shared" ref="D13:L13" si="0">SUM(D3:D12)</f>
        <v>39</v>
      </c>
      <c r="E13" s="26">
        <f t="shared" si="0"/>
        <v>23</v>
      </c>
      <c r="F13" s="26">
        <f t="shared" si="0"/>
        <v>16</v>
      </c>
      <c r="G13" s="26">
        <f t="shared" si="0"/>
        <v>139</v>
      </c>
      <c r="H13" s="26">
        <f t="shared" si="0"/>
        <v>156</v>
      </c>
      <c r="I13" s="26">
        <f t="shared" si="0"/>
        <v>-59</v>
      </c>
      <c r="J13" s="26">
        <f t="shared" si="0"/>
        <v>73</v>
      </c>
      <c r="K13" s="26">
        <f t="shared" si="0"/>
        <v>186</v>
      </c>
      <c r="L13" s="26">
        <f t="shared" si="0"/>
        <v>179</v>
      </c>
    </row>
    <row r="14" spans="2:12" x14ac:dyDescent="0.3">
      <c r="B14" t="s">
        <v>110</v>
      </c>
      <c r="C14">
        <v>-38</v>
      </c>
      <c r="D14">
        <v>-77</v>
      </c>
      <c r="E14">
        <v>-8</v>
      </c>
      <c r="F14">
        <v>-53</v>
      </c>
      <c r="G14">
        <v>19</v>
      </c>
      <c r="H14">
        <v>-6</v>
      </c>
      <c r="I14">
        <v>-30</v>
      </c>
      <c r="J14">
        <v>-12</v>
      </c>
      <c r="K14">
        <v>-37</v>
      </c>
      <c r="L14">
        <v>-126</v>
      </c>
    </row>
    <row r="15" spans="2:12" x14ac:dyDescent="0.3">
      <c r="B15" t="s">
        <v>96</v>
      </c>
      <c r="C15">
        <v>-38</v>
      </c>
      <c r="D15">
        <v>-77</v>
      </c>
      <c r="E15">
        <v>-10</v>
      </c>
      <c r="F15">
        <v>-46</v>
      </c>
      <c r="G15">
        <v>-172</v>
      </c>
      <c r="H15">
        <v>-7</v>
      </c>
      <c r="I15">
        <v>-14</v>
      </c>
      <c r="J15">
        <v>-26</v>
      </c>
      <c r="K15">
        <v>-19</v>
      </c>
      <c r="L15">
        <v>-108</v>
      </c>
    </row>
    <row r="16" spans="2:12" x14ac:dyDescent="0.3">
      <c r="B16" t="s">
        <v>97</v>
      </c>
      <c r="C16">
        <v>0</v>
      </c>
      <c r="D16">
        <v>0</v>
      </c>
      <c r="E16">
        <v>1</v>
      </c>
      <c r="F16">
        <v>0</v>
      </c>
      <c r="G16">
        <v>148</v>
      </c>
      <c r="H16">
        <v>1</v>
      </c>
      <c r="I16">
        <v>1</v>
      </c>
      <c r="J16">
        <v>0</v>
      </c>
      <c r="K16">
        <v>5</v>
      </c>
      <c r="L16">
        <v>1</v>
      </c>
    </row>
    <row r="17" spans="2:12" x14ac:dyDescent="0.3">
      <c r="B17" t="s">
        <v>98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2:12" x14ac:dyDescent="0.3">
      <c r="B18" t="s">
        <v>99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-6</v>
      </c>
      <c r="J18">
        <v>0</v>
      </c>
      <c r="K18">
        <v>0</v>
      </c>
      <c r="L18">
        <v>0</v>
      </c>
    </row>
    <row r="19" spans="2:12" x14ac:dyDescent="0.3">
      <c r="B19" t="s">
        <v>100</v>
      </c>
      <c r="C19">
        <v>0</v>
      </c>
      <c r="D19">
        <v>0</v>
      </c>
      <c r="E19">
        <v>0</v>
      </c>
      <c r="F19">
        <v>2</v>
      </c>
      <c r="G19">
        <v>34</v>
      </c>
      <c r="H19">
        <v>0</v>
      </c>
      <c r="I19">
        <v>0</v>
      </c>
      <c r="J19">
        <v>4</v>
      </c>
      <c r="K19">
        <v>1</v>
      </c>
      <c r="L19">
        <v>0</v>
      </c>
    </row>
    <row r="20" spans="2:12" x14ac:dyDescent="0.3">
      <c r="B20" t="s">
        <v>101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4</v>
      </c>
      <c r="L20">
        <v>5</v>
      </c>
    </row>
    <row r="21" spans="2:12" x14ac:dyDescent="0.3">
      <c r="B21" t="s">
        <v>102</v>
      </c>
      <c r="C21">
        <v>0</v>
      </c>
      <c r="D21">
        <v>0</v>
      </c>
      <c r="E21">
        <v>0</v>
      </c>
      <c r="F21">
        <v>0</v>
      </c>
      <c r="G21">
        <v>-1</v>
      </c>
      <c r="H21">
        <v>0</v>
      </c>
      <c r="I21">
        <v>-1</v>
      </c>
      <c r="J21">
        <v>0</v>
      </c>
      <c r="K21">
        <v>0</v>
      </c>
      <c r="L21">
        <v>0</v>
      </c>
    </row>
    <row r="22" spans="2:12" x14ac:dyDescent="0.3">
      <c r="B22" t="s">
        <v>103</v>
      </c>
      <c r="C22">
        <v>0</v>
      </c>
      <c r="D22">
        <v>0</v>
      </c>
      <c r="E22">
        <v>1</v>
      </c>
      <c r="F22">
        <v>-10</v>
      </c>
      <c r="G22">
        <v>10</v>
      </c>
      <c r="H22">
        <v>0</v>
      </c>
      <c r="I22">
        <v>-10</v>
      </c>
      <c r="J22">
        <v>9</v>
      </c>
      <c r="K22">
        <v>-28</v>
      </c>
      <c r="L22">
        <v>-24</v>
      </c>
    </row>
    <row r="23" spans="2:12" x14ac:dyDescent="0.3">
      <c r="B23" t="s">
        <v>111</v>
      </c>
      <c r="C23">
        <v>26</v>
      </c>
      <c r="D23">
        <v>51</v>
      </c>
      <c r="E23">
        <v>-11</v>
      </c>
      <c r="F23">
        <v>22</v>
      </c>
      <c r="G23">
        <v>-80</v>
      </c>
      <c r="H23">
        <v>-64</v>
      </c>
      <c r="I23">
        <v>17</v>
      </c>
      <c r="J23">
        <v>-36</v>
      </c>
      <c r="K23">
        <v>-4</v>
      </c>
      <c r="L23">
        <v>-4</v>
      </c>
    </row>
    <row r="24" spans="2:12" x14ac:dyDescent="0.3">
      <c r="B24" t="s">
        <v>104</v>
      </c>
      <c r="C24">
        <v>0</v>
      </c>
      <c r="D24">
        <v>0</v>
      </c>
      <c r="E24">
        <v>51.09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2:12" x14ac:dyDescent="0.3">
      <c r="B25" t="s">
        <v>105</v>
      </c>
      <c r="C25">
        <v>32.67</v>
      </c>
      <c r="D25">
        <v>64.64</v>
      </c>
      <c r="E25">
        <v>0</v>
      </c>
      <c r="F25">
        <v>46.34</v>
      </c>
      <c r="G25">
        <v>0</v>
      </c>
      <c r="H25">
        <v>0</v>
      </c>
      <c r="I25">
        <v>34.83</v>
      </c>
      <c r="J25">
        <v>0</v>
      </c>
      <c r="K25">
        <v>0</v>
      </c>
      <c r="L25">
        <v>0</v>
      </c>
    </row>
    <row r="26" spans="2:12" x14ac:dyDescent="0.3">
      <c r="B26" t="s">
        <v>106</v>
      </c>
      <c r="C26">
        <v>0</v>
      </c>
      <c r="D26">
        <v>-5.0999999999999996</v>
      </c>
      <c r="E26">
        <v>-56.01</v>
      </c>
      <c r="F26">
        <v>-16.27</v>
      </c>
      <c r="G26">
        <v>-71.13</v>
      </c>
      <c r="H26">
        <v>-60.91</v>
      </c>
      <c r="I26">
        <v>-14.57</v>
      </c>
      <c r="J26">
        <v>-32.520000000000003</v>
      </c>
      <c r="K26">
        <v>-1.45</v>
      </c>
      <c r="L26">
        <v>0</v>
      </c>
    </row>
    <row r="27" spans="2:12" x14ac:dyDescent="0.3">
      <c r="B27" t="s">
        <v>107</v>
      </c>
      <c r="C27">
        <v>0</v>
      </c>
      <c r="D27">
        <v>-8.57</v>
      </c>
      <c r="E27">
        <v>-6.26</v>
      </c>
      <c r="F27">
        <v>-7.61</v>
      </c>
      <c r="G27">
        <v>-9.3000000000000007</v>
      </c>
      <c r="H27">
        <v>-3.5</v>
      </c>
      <c r="I27">
        <v>-3.12</v>
      </c>
      <c r="J27">
        <v>-3.31</v>
      </c>
      <c r="K27">
        <v>-2.5</v>
      </c>
      <c r="L27">
        <v>-3.92</v>
      </c>
    </row>
    <row r="28" spans="2:12" x14ac:dyDescent="0.3">
      <c r="B28" t="s">
        <v>108</v>
      </c>
      <c r="C28">
        <v>-6.46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2:12" x14ac:dyDescent="0.3">
      <c r="B29" t="s">
        <v>50</v>
      </c>
      <c r="C29">
        <v>0</v>
      </c>
      <c r="D29">
        <v>0</v>
      </c>
      <c r="E29">
        <v>0</v>
      </c>
      <c r="F29">
        <v>-2</v>
      </c>
      <c r="G29">
        <v>5</v>
      </c>
      <c r="H29">
        <v>9</v>
      </c>
      <c r="I29">
        <v>-7</v>
      </c>
      <c r="J29">
        <v>18</v>
      </c>
      <c r="K29">
        <v>68</v>
      </c>
      <c r="L29">
        <v>-23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Financials&gt;</vt:lpstr>
      <vt:lpstr>Historical_FS</vt:lpstr>
      <vt:lpstr>Ratio Analysis</vt:lpstr>
      <vt:lpstr>Forecasting</vt:lpstr>
      <vt:lpstr>WACC</vt:lpstr>
      <vt:lpstr>Intrensic Growth</vt:lpstr>
      <vt:lpstr>DCF</vt:lpstr>
      <vt:lpstr>Data&gt;</vt:lpstr>
      <vt:lpstr>Data Room</vt:lpstr>
      <vt:lpstr>DataSheet</vt:lpstr>
      <vt:lpstr>BETA</vt:lpstr>
      <vt:lpstr>Beta- Comps</vt:lpstr>
      <vt:lpstr>Rm</vt:lpstr>
      <vt:lpstr>Cash Flow Statement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waqar ahmad</dc:creator>
  <cp:lastModifiedBy>waqar ahmad</cp:lastModifiedBy>
  <cp:lastPrinted>2026-01-26T08:06:31Z</cp:lastPrinted>
  <dcterms:created xsi:type="dcterms:W3CDTF">2026-01-22T10:26:56Z</dcterms:created>
  <dcterms:modified xsi:type="dcterms:W3CDTF">2026-02-09T18:02:41Z</dcterms:modified>
</cp:coreProperties>
</file>