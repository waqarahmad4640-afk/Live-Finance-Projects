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waqar\OneDrive\Desktop\Portfolio\"/>
    </mc:Choice>
  </mc:AlternateContent>
  <xr:revisionPtr revIDLastSave="0" documentId="13_ncr:1_{C21E2126-B196-4FCC-8243-CE9070EB4E81}" xr6:coauthVersionLast="47" xr6:coauthVersionMax="47" xr10:uidLastSave="{00000000-0000-0000-0000-000000000000}"/>
  <bookViews>
    <workbookView xWindow="4320" yWindow="1944" windowWidth="17064" windowHeight="11736" xr2:uid="{A876B1C3-3EC0-4994-A133-B135481E9F9D}"/>
  </bookViews>
  <sheets>
    <sheet name="MF_Analysis" sheetId="1" r:id="rId1"/>
    <sheet name="Data&gt;" sheetId="6" r:id="rId2"/>
    <sheet name="Portfolio" sheetId="2" r:id="rId3"/>
    <sheet name="sector " sheetId="3" r:id="rId4"/>
    <sheet name="Sheet2" sheetId="4" r:id="rId5"/>
    <sheet name="Nippon_India_Growth_Mid_Cap_Fun" sheetId="5" r:id="rId6"/>
  </sheets>
  <definedNames>
    <definedName name="_xlnm._FilterDatabase" localSheetId="5" hidden="1">Nippon_India_Growth_Mid_Cap_Fun!$I$2:$I$104</definedName>
    <definedName name="_xlnm._FilterDatabase" localSheetId="3" hidden="1">'sector '!$B$2:$C$19</definedName>
  </definedName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5" l="1"/>
  <c r="I3" i="5"/>
  <c r="H4" i="5"/>
  <c r="I4" i="5"/>
  <c r="H5" i="5"/>
  <c r="I5" i="5"/>
  <c r="H6" i="5"/>
  <c r="I6" i="5"/>
  <c r="H7" i="5"/>
  <c r="I7" i="5"/>
  <c r="H8" i="5"/>
  <c r="I8" i="5"/>
  <c r="H9" i="5"/>
  <c r="I9" i="5"/>
  <c r="H10" i="5"/>
  <c r="I10" i="5"/>
  <c r="H11" i="5"/>
  <c r="I11" i="5"/>
  <c r="H12" i="5"/>
  <c r="I12" i="5"/>
  <c r="H13" i="5"/>
  <c r="I13" i="5"/>
  <c r="H14" i="5"/>
  <c r="I14" i="5"/>
  <c r="H15" i="5"/>
  <c r="I15" i="5"/>
  <c r="H16" i="5"/>
  <c r="I16" i="5"/>
  <c r="H17" i="5"/>
  <c r="I17" i="5"/>
  <c r="H18" i="5"/>
  <c r="I18" i="5"/>
  <c r="H19" i="5"/>
  <c r="I19" i="5"/>
  <c r="H20" i="5"/>
  <c r="I20" i="5"/>
  <c r="H21" i="5"/>
  <c r="I21" i="5"/>
  <c r="H22" i="5"/>
  <c r="I22" i="5"/>
  <c r="H23" i="5"/>
  <c r="I23" i="5"/>
  <c r="H24" i="5"/>
  <c r="I24" i="5"/>
  <c r="H25" i="5"/>
  <c r="I25" i="5"/>
  <c r="H26" i="5"/>
  <c r="I26" i="5"/>
  <c r="H27" i="5"/>
  <c r="I27" i="5"/>
  <c r="H28" i="5"/>
  <c r="I28" i="5"/>
  <c r="H29" i="5"/>
  <c r="I29" i="5"/>
  <c r="H30" i="5"/>
  <c r="I30" i="5"/>
  <c r="H31" i="5"/>
  <c r="I31" i="5"/>
  <c r="H32" i="5"/>
  <c r="I32" i="5"/>
  <c r="H33" i="5"/>
  <c r="I33" i="5"/>
  <c r="H34" i="5"/>
  <c r="I34" i="5"/>
  <c r="H35" i="5"/>
  <c r="I35" i="5"/>
  <c r="H36" i="5"/>
  <c r="I36" i="5"/>
  <c r="H37" i="5"/>
  <c r="I37" i="5"/>
  <c r="H38" i="5"/>
  <c r="I38" i="5"/>
  <c r="H39" i="5"/>
  <c r="I39" i="5"/>
  <c r="H40" i="5"/>
  <c r="I40" i="5"/>
  <c r="H41" i="5"/>
  <c r="I41" i="5"/>
  <c r="H42" i="5"/>
  <c r="I42" i="5"/>
  <c r="H43" i="5"/>
  <c r="I43" i="5"/>
  <c r="H44" i="5"/>
  <c r="I44" i="5"/>
  <c r="H45" i="5"/>
  <c r="I45" i="5"/>
  <c r="H46" i="5"/>
  <c r="I46" i="5"/>
  <c r="H47" i="5"/>
  <c r="I47" i="5"/>
  <c r="H48" i="5"/>
  <c r="I48" i="5"/>
  <c r="H49" i="5"/>
  <c r="I49" i="5"/>
  <c r="H50" i="5"/>
  <c r="I50" i="5"/>
  <c r="H51" i="5"/>
  <c r="I51" i="5"/>
  <c r="H52" i="5"/>
  <c r="I52" i="5"/>
  <c r="H53" i="5"/>
  <c r="I53" i="5"/>
  <c r="H54" i="5"/>
  <c r="I54" i="5"/>
  <c r="H55" i="5"/>
  <c r="I55" i="5"/>
  <c r="H56" i="5"/>
  <c r="I56" i="5"/>
  <c r="H57" i="5"/>
  <c r="I57" i="5"/>
  <c r="H58" i="5"/>
  <c r="I58" i="5"/>
  <c r="H59" i="5"/>
  <c r="I59" i="5"/>
  <c r="H60" i="5"/>
  <c r="I60" i="5"/>
  <c r="H61" i="5"/>
  <c r="I61" i="5"/>
  <c r="H62" i="5"/>
  <c r="I62" i="5"/>
  <c r="H63" i="5"/>
  <c r="I63" i="5"/>
  <c r="H64" i="5"/>
  <c r="I64" i="5"/>
  <c r="H65" i="5"/>
  <c r="I65" i="5"/>
  <c r="H66" i="5"/>
  <c r="I66" i="5"/>
  <c r="H67" i="5"/>
  <c r="I67" i="5"/>
  <c r="H68" i="5"/>
  <c r="I68" i="5"/>
  <c r="H69" i="5"/>
  <c r="I69" i="5"/>
  <c r="H70" i="5"/>
  <c r="I70" i="5"/>
  <c r="H71" i="5"/>
  <c r="I71" i="5"/>
  <c r="H72" i="5"/>
  <c r="I72" i="5"/>
  <c r="H73" i="5"/>
  <c r="I73" i="5"/>
  <c r="H74" i="5"/>
  <c r="I74" i="5"/>
  <c r="H75" i="5"/>
  <c r="I75" i="5"/>
  <c r="H76" i="5"/>
  <c r="I76" i="5"/>
  <c r="H77" i="5"/>
  <c r="I77" i="5"/>
  <c r="H78" i="5"/>
  <c r="I78" i="5"/>
  <c r="H79" i="5"/>
  <c r="I79" i="5"/>
  <c r="H80" i="5"/>
  <c r="I80" i="5"/>
  <c r="H81" i="5"/>
  <c r="I81" i="5"/>
  <c r="H82" i="5"/>
  <c r="I82" i="5"/>
  <c r="H83" i="5"/>
  <c r="I83" i="5"/>
  <c r="H84" i="5"/>
  <c r="I84" i="5"/>
  <c r="H85" i="5"/>
  <c r="I85" i="5"/>
  <c r="H86" i="5"/>
  <c r="I86" i="5"/>
  <c r="H87" i="5"/>
  <c r="I87" i="5"/>
  <c r="H88" i="5"/>
  <c r="I88" i="5"/>
  <c r="H89" i="5"/>
  <c r="I89" i="5"/>
  <c r="H90" i="5"/>
  <c r="I90" i="5"/>
  <c r="H91" i="5"/>
  <c r="I91" i="5"/>
  <c r="H92" i="5"/>
  <c r="I92" i="5"/>
  <c r="H93" i="5"/>
  <c r="I93" i="5"/>
  <c r="H94" i="5"/>
  <c r="I94" i="5"/>
  <c r="H95" i="5"/>
  <c r="I95" i="5"/>
  <c r="H96" i="5"/>
  <c r="I96" i="5"/>
  <c r="H97" i="5"/>
  <c r="I97" i="5"/>
  <c r="H98" i="5"/>
  <c r="I98" i="5"/>
  <c r="H99" i="5"/>
  <c r="I99" i="5"/>
  <c r="H100" i="5"/>
  <c r="I100" i="5"/>
  <c r="H101" i="5"/>
  <c r="I101" i="5"/>
  <c r="H102" i="5"/>
  <c r="I102" i="5"/>
  <c r="M68" i="1"/>
  <c r="L68" i="1"/>
  <c r="K68" i="1"/>
  <c r="J68" i="1"/>
  <c r="I80" i="1" a="1"/>
  <c r="I80" i="1" s="1"/>
  <c r="I79" i="1" a="1"/>
  <c r="I79" i="1" s="1"/>
  <c r="F41" i="4"/>
  <c r="F42" i="4"/>
  <c r="F43" i="4"/>
  <c r="F44" i="4"/>
  <c r="F40" i="4"/>
  <c r="E41" i="4"/>
  <c r="I78" i="1" s="1" a="1"/>
  <c r="I78" i="1" s="1"/>
  <c r="E42" i="4"/>
  <c r="E43" i="4"/>
  <c r="E44" i="4"/>
  <c r="E40" i="4"/>
  <c r="D40" i="4"/>
  <c r="I75" i="1" a="1"/>
  <c r="I75" i="1" s="1"/>
  <c r="I74" i="1" a="1"/>
  <c r="I74" i="1" s="1"/>
  <c r="I73" i="1" a="1"/>
  <c r="I7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<sst xmlns="http://schemas.openxmlformats.org/spreadsheetml/2006/main" count="561" uniqueCount="320">
  <si>
    <t>Academic Research</t>
  </si>
  <si>
    <t>Analysis Report</t>
  </si>
  <si>
    <t>Fund and scheme details</t>
  </si>
  <si>
    <t>Inception Date:</t>
  </si>
  <si>
    <t>AUM (In Cr.) as on 17th Dec 2025:</t>
  </si>
  <si>
    <t>Plan Type:</t>
  </si>
  <si>
    <t>Asset Class:</t>
  </si>
  <si>
    <t>Scheme Type Market Cap:</t>
  </si>
  <si>
    <t>Benchmark:</t>
  </si>
  <si>
    <t>Expense Ratio:</t>
  </si>
  <si>
    <t>Direct Growth Plan</t>
  </si>
  <si>
    <t>Equity</t>
  </si>
  <si>
    <t xml:space="preserve">Mid Cap </t>
  </si>
  <si>
    <t>NIFTY Midcap 150 TRI</t>
  </si>
  <si>
    <t>Investment Philosophy</t>
  </si>
  <si>
    <t>The Nippon India growth fund majorly invest in the mid cap companies in Indian equity market that have potential to consistently perform in future. They identify the potential market leaders, analysing their top line growth and the follow up bottom line growth, in early stage to generate alpha at a pair valuation.Overall their investment strategy is to based on growth at reasonable price.</t>
  </si>
  <si>
    <t>Entry Load</t>
  </si>
  <si>
    <t>Exit Load:</t>
  </si>
  <si>
    <t>Nill</t>
  </si>
  <si>
    <t>Fund Manager:</t>
  </si>
  <si>
    <t>Rupesh Patel</t>
  </si>
  <si>
    <t>Top 10 stock holding by the fund</t>
  </si>
  <si>
    <t>BSE Ltd.</t>
  </si>
  <si>
    <t>Financials</t>
  </si>
  <si>
    <t>Fortis Healthcare Ltd.</t>
  </si>
  <si>
    <t>Healthcare</t>
  </si>
  <si>
    <t>The Federal Bank Ltd.</t>
  </si>
  <si>
    <t>AU Small Finance Bank Ltd.</t>
  </si>
  <si>
    <t>Persistent Systems Ltd.</t>
  </si>
  <si>
    <t>Technology</t>
  </si>
  <si>
    <t>Cholamandalam Financial Holdings Ltd.</t>
  </si>
  <si>
    <t>Voltas Ltd.</t>
  </si>
  <si>
    <t>Consumer Durables</t>
  </si>
  <si>
    <t>Max Financial Services Ltd.</t>
  </si>
  <si>
    <t>Ashok Leyland Ltd.</t>
  </si>
  <si>
    <t>Automobile and Ancillaries</t>
  </si>
  <si>
    <t>Bharat Forge Ltd.</t>
  </si>
  <si>
    <t>Company</t>
  </si>
  <si>
    <t>Sector</t>
  </si>
  <si>
    <t>Assets %</t>
  </si>
  <si>
    <t>Max Healthcare Institute Ltd.</t>
  </si>
  <si>
    <t>One97 Communications Ltd.</t>
  </si>
  <si>
    <t>Indus Towers Ltd.</t>
  </si>
  <si>
    <t>Media and Communications</t>
  </si>
  <si>
    <t>Power Finance Corporation Ltd.</t>
  </si>
  <si>
    <t>Indian Bank</t>
  </si>
  <si>
    <t>Varun Beverages Ltd.</t>
  </si>
  <si>
    <t>FMCG</t>
  </si>
  <si>
    <t>Alkem Laboratories Ltd.</t>
  </si>
  <si>
    <t>Dixon Technologies (India) Ltd.</t>
  </si>
  <si>
    <t>Tube Investments of India Ltd.</t>
  </si>
  <si>
    <t>Prestige Estates Projects Ltd.</t>
  </si>
  <si>
    <t>Construction</t>
  </si>
  <si>
    <t>Samvardhana Motherson International Ltd.</t>
  </si>
  <si>
    <t>Cummins India Ltd.</t>
  </si>
  <si>
    <t>Eternal Ltd.</t>
  </si>
  <si>
    <t>Retail and Other Services</t>
  </si>
  <si>
    <t>NTPC Green Energy Ltd.</t>
  </si>
  <si>
    <t>Energy</t>
  </si>
  <si>
    <t>Info Edge (India) Ltd.</t>
  </si>
  <si>
    <t>GE Vernova T&amp;D India Ltd.</t>
  </si>
  <si>
    <t>Capital Goods</t>
  </si>
  <si>
    <t>HDB Financial Services Ltd.</t>
  </si>
  <si>
    <t>Lupin Ltd.</t>
  </si>
  <si>
    <t>Bharat Heavy Electricals Ltd.</t>
  </si>
  <si>
    <t>APL Apollo Tubes Ltd.</t>
  </si>
  <si>
    <t>Metals</t>
  </si>
  <si>
    <t>ICICI Lombard General Insurance Company Ltd.</t>
  </si>
  <si>
    <t>Gland Pharma Ltd.</t>
  </si>
  <si>
    <t>Vishal Mega Mart Ltd.</t>
  </si>
  <si>
    <t>Torrent Power Ltd.</t>
  </si>
  <si>
    <t>NTPC Ltd.</t>
  </si>
  <si>
    <t>FSN E-Commerce Ventures Ltd.</t>
  </si>
  <si>
    <t>Ipca Laboratories Ltd.</t>
  </si>
  <si>
    <t>The Indian Hotels Company Ltd.</t>
  </si>
  <si>
    <t>Travel</t>
  </si>
  <si>
    <t>ZF Commercial Vehicle Control Systems India Ltd.</t>
  </si>
  <si>
    <t>Supreme Industries Ltd.</t>
  </si>
  <si>
    <t>Bharat Electronics Ltd.</t>
  </si>
  <si>
    <t>Jubilant FoodWorks Ltd.</t>
  </si>
  <si>
    <t>NLC India Ltd.</t>
  </si>
  <si>
    <t>Hindustan Petroleum Corporation Ltd.</t>
  </si>
  <si>
    <t>Mahindra &amp; Mahindra Financial Services Ltd.</t>
  </si>
  <si>
    <t>HDFC Asset Management Company Ltd.</t>
  </si>
  <si>
    <t>Angel One Ltd.</t>
  </si>
  <si>
    <t>Page Industries Ltd.</t>
  </si>
  <si>
    <t>Textile</t>
  </si>
  <si>
    <t>Dalmia Bharat Ltd.</t>
  </si>
  <si>
    <t>REC Ltd.</t>
  </si>
  <si>
    <t>Hyundai Motor India Ltd.</t>
  </si>
  <si>
    <t>Interglobe Aviation Ltd.</t>
  </si>
  <si>
    <t>Schaeffler India Ltd.</t>
  </si>
  <si>
    <t>Sundaram Finance Ltd.</t>
  </si>
  <si>
    <t>United Breweries Ltd.</t>
  </si>
  <si>
    <t>Endurance Technologies Ltd.</t>
  </si>
  <si>
    <t>CG Power and Industrial Solutions Ltd.</t>
  </si>
  <si>
    <t>Union Bank Of India</t>
  </si>
  <si>
    <t>Mphasis Ltd.</t>
  </si>
  <si>
    <t>Blue Star Ltd.</t>
  </si>
  <si>
    <t>Trent Ltd.</t>
  </si>
  <si>
    <t>Gujarat Gas Ltd.</t>
  </si>
  <si>
    <t>Astral Ltd.</t>
  </si>
  <si>
    <t>Coromandel International Ltd.</t>
  </si>
  <si>
    <t>Chemicals</t>
  </si>
  <si>
    <t>Mankind Pharma Ltd.</t>
  </si>
  <si>
    <t>Container Corporation Of India Ltd.</t>
  </si>
  <si>
    <t>Logistics</t>
  </si>
  <si>
    <t>Balkrishna Industries Ltd.</t>
  </si>
  <si>
    <t>Hindustan Aeronautics Ltd.</t>
  </si>
  <si>
    <t>Colgate-Palmolive (India) Ltd.</t>
  </si>
  <si>
    <t>Devyani International Ltd.</t>
  </si>
  <si>
    <t>LG Electronics India Ltd.</t>
  </si>
  <si>
    <t>Bank Of India</t>
  </si>
  <si>
    <t>3M India Ltd.</t>
  </si>
  <si>
    <t>Diversified</t>
  </si>
  <si>
    <t>Gujarat Fluorochemicals Ltd.</t>
  </si>
  <si>
    <t>Timken India Ltd.</t>
  </si>
  <si>
    <t>Radico Khaitan Ltd.</t>
  </si>
  <si>
    <t>Bata India Ltd.</t>
  </si>
  <si>
    <t>Carborundum Universal Ltd.</t>
  </si>
  <si>
    <t>Prudent Corporate Advisory Services Ltd.</t>
  </si>
  <si>
    <t>JK Cement Ltd.</t>
  </si>
  <si>
    <t>NMDC Ltd.</t>
  </si>
  <si>
    <t>Crompton Greaves Consumer Electricals Ltd.</t>
  </si>
  <si>
    <t>Sanofi Consumer Healthcare India Ltd.</t>
  </si>
  <si>
    <t>Sundram Fasteners Ltd.</t>
  </si>
  <si>
    <t>Sona BLW Precision Forgings Ltd.</t>
  </si>
  <si>
    <t>IndusInd Bank Ltd.</t>
  </si>
  <si>
    <t>Bayer CropScience Ltd.</t>
  </si>
  <si>
    <t>Glaxosmithkline Pharmaceuticals Ltd.</t>
  </si>
  <si>
    <t>MTAR Technologies Ltd.</t>
  </si>
  <si>
    <t>Indraprastha Gas Ltd.</t>
  </si>
  <si>
    <t>Swiggy Ltd.</t>
  </si>
  <si>
    <t>Tata Communications Ltd.</t>
  </si>
  <si>
    <t>Sanofi India Ltd.</t>
  </si>
  <si>
    <t>Deepak Nitrite Ltd.</t>
  </si>
  <si>
    <t>Restaurant Brands Asia Ltd.</t>
  </si>
  <si>
    <t>Apar Industries Ltd.</t>
  </si>
  <si>
    <t>Globsyn Technologies Limited</t>
  </si>
  <si>
    <t>Grand Total</t>
  </si>
  <si>
    <t>Row Labels</t>
  </si>
  <si>
    <t>Sum of Assets %</t>
  </si>
  <si>
    <t>Allocation %</t>
  </si>
  <si>
    <t xml:space="preserve">Market Value </t>
  </si>
  <si>
    <t>XIRR</t>
  </si>
  <si>
    <t>Tenur (Years)</t>
  </si>
  <si>
    <t>SIP Return @ ₹10,000/Month</t>
  </si>
  <si>
    <t>2,52,000 </t>
  </si>
  <si>
    <t>Invested Value</t>
  </si>
  <si>
    <t>10% Per Annum Step Up SIP Return</t>
  </si>
  <si>
    <t>SIP Performance Chart</t>
  </si>
  <si>
    <t>SIP Amount of ₹10,000 Per Month</t>
  </si>
  <si>
    <t>SIP Amount of ₹10,000 per month with 10% increase each year</t>
  </si>
  <si>
    <t>Return Analysis</t>
  </si>
  <si>
    <t>Particulars</t>
  </si>
  <si>
    <t xml:space="preserve">Nippon Indian Growth Mid Cap Fund </t>
  </si>
  <si>
    <t>Nippon India Growth Mid Cap Fund</t>
  </si>
  <si>
    <t>BSE Sensex</t>
  </si>
  <si>
    <t>Value of ₹1,00,000 invested - Lumpsum</t>
  </si>
  <si>
    <t>Value of ₹10,000 invested - Monthly SIP</t>
  </si>
  <si>
    <t>Value of ₹10,000 invested  - 10% Step Up SIP</t>
  </si>
  <si>
    <t>MF</t>
  </si>
  <si>
    <t>MidCap ETF</t>
  </si>
  <si>
    <t>Sensex ETF</t>
  </si>
  <si>
    <t>3Yr</t>
  </si>
  <si>
    <t>Risk Analysis</t>
  </si>
  <si>
    <t xml:space="preserve">CAGR % </t>
  </si>
  <si>
    <t>(Last)</t>
  </si>
  <si>
    <t>Nippon India Growth Mid Cap Dir</t>
  </si>
  <si>
    <t>Equity: Mid Cap</t>
  </si>
  <si>
    <t>NIFTY 150 MidCap TRI</t>
  </si>
  <si>
    <t xml:space="preserve">Mean Return </t>
  </si>
  <si>
    <t>Std Dev</t>
  </si>
  <si>
    <t xml:space="preserve">Shape </t>
  </si>
  <si>
    <t xml:space="preserve">Sortino </t>
  </si>
  <si>
    <t>Beta</t>
  </si>
  <si>
    <t>Alpha</t>
  </si>
  <si>
    <t>NA</t>
  </si>
  <si>
    <t>-</t>
  </si>
  <si>
    <t>Total No of Funds in Category</t>
  </si>
  <si>
    <t>source : Morining Star</t>
  </si>
  <si>
    <t>Portfolio Analysis</t>
  </si>
  <si>
    <t>Price/Earnings</t>
  </si>
  <si>
    <t>Price/Book</t>
  </si>
  <si>
    <t>Price/Sales</t>
  </si>
  <si>
    <t>Price/Cash Flow</t>
  </si>
  <si>
    <t>Dividend Yield %</t>
  </si>
  <si>
    <t>Long-Term Earnings %</t>
  </si>
  <si>
    <t xml:space="preserve">Book Value Growth </t>
  </si>
  <si>
    <t>Fund</t>
  </si>
  <si>
    <t>Category</t>
  </si>
  <si>
    <t xml:space="preserve"> Index</t>
  </si>
  <si>
    <t xml:space="preserve">Price/Earning </t>
  </si>
  <si>
    <t>Price/Book Value</t>
  </si>
  <si>
    <t>Book Value Growth</t>
  </si>
  <si>
    <t>Metrics</t>
  </si>
  <si>
    <t>Category %</t>
  </si>
  <si>
    <t>Cyclical</t>
  </si>
  <si>
    <t>Basic Materials</t>
  </si>
  <si>
    <t>Consumer Cyclical</t>
  </si>
  <si>
    <t>Financial Services</t>
  </si>
  <si>
    <t>Real Estate</t>
  </si>
  <si>
    <t>Sensitive</t>
  </si>
  <si>
    <t>Communication Services</t>
  </si>
  <si>
    <t>Industrials</t>
  </si>
  <si>
    <t>Defensive</t>
  </si>
  <si>
    <t>Consumer Defensive</t>
  </si>
  <si>
    <t>Utilities</t>
  </si>
  <si>
    <t>h</t>
  </si>
  <si>
    <t>Colgate Palmolive (India) Limited</t>
  </si>
  <si>
    <t>NTPC Green Energy Limited</t>
  </si>
  <si>
    <t>Sundaram Finance Limited</t>
  </si>
  <si>
    <t>Power Finance Corporation Limited</t>
  </si>
  <si>
    <t>Info Edge (India) Limited</t>
  </si>
  <si>
    <t>Samvardhana Motherson International Limited</t>
  </si>
  <si>
    <t>Top portfolio Movement</t>
  </si>
  <si>
    <t>Addition</t>
  </si>
  <si>
    <t>Delettion</t>
  </si>
  <si>
    <t>BSE Limited</t>
  </si>
  <si>
    <t>The Federal Bank Limited</t>
  </si>
  <si>
    <t>Fortis Healthcare Limited</t>
  </si>
  <si>
    <t>AU Small Finance Bank Limited</t>
  </si>
  <si>
    <t>Persistent Systems Limited</t>
  </si>
  <si>
    <t>Voltas Limited</t>
  </si>
  <si>
    <t>Ashok Leyland Limited</t>
  </si>
  <si>
    <t>Cholamandalam Financial Holdings Limited</t>
  </si>
  <si>
    <t>Max Financial Services Limited</t>
  </si>
  <si>
    <t>Addation/Deletion</t>
  </si>
  <si>
    <t>No. of Shares</t>
  </si>
  <si>
    <t>% of AUM</t>
  </si>
  <si>
    <t>Nov-25 AUM:â‚¹42041.6(Cr.)</t>
  </si>
  <si>
    <t>Dec-25 AUM:â‚¹42124.5(Cr.)</t>
  </si>
  <si>
    <t>Jan-26 AUM:â‚¹41727.4(Cr.)</t>
  </si>
  <si>
    <t>Sona BLW Precision Forgings Limited</t>
  </si>
  <si>
    <t>ICICI Prudential Asset Management Company Limited</t>
  </si>
  <si>
    <t>Swiggy Limited</t>
  </si>
  <si>
    <t>ITC Hotels Limited</t>
  </si>
  <si>
    <t>ICICI Bank Limited</t>
  </si>
  <si>
    <t>GE Vernova T&amp;D India Limited</t>
  </si>
  <si>
    <t>Globsyn Technologies Limited**</t>
  </si>
  <si>
    <t>Apar Industries Limited</t>
  </si>
  <si>
    <t>Sanofi India Limited</t>
  </si>
  <si>
    <t>Tata Communications Limited</t>
  </si>
  <si>
    <t>Restaurant Brands Asia Limited</t>
  </si>
  <si>
    <t>Deepak Nitrite Limited</t>
  </si>
  <si>
    <t>Indraprastha Gas Limited</t>
  </si>
  <si>
    <t>Crompton Greaves Consumer Electricals Limited</t>
  </si>
  <si>
    <t>Bayer Cropscience Limited</t>
  </si>
  <si>
    <t>GlaxoSmithKline Pharmaceuticals Limited</t>
  </si>
  <si>
    <t>Sanofi Consumer Healthcare India Limited</t>
  </si>
  <si>
    <t>IndusInd Bank Limited</t>
  </si>
  <si>
    <t>Sundram Fasteners Limited</t>
  </si>
  <si>
    <t>Bata India Limited</t>
  </si>
  <si>
    <t>MTAR Technologies Limited</t>
  </si>
  <si>
    <t>JK Cement Limited</t>
  </si>
  <si>
    <t>Radico Khaitan Limited</t>
  </si>
  <si>
    <t>Prudent Corporate Advisory Services Limited</t>
  </si>
  <si>
    <t>Gujarat Fluorochemicals Limited</t>
  </si>
  <si>
    <t>NMDC Limited</t>
  </si>
  <si>
    <t>LG Electronics IndiaÂ Ltd</t>
  </si>
  <si>
    <t>Timken India Limited</t>
  </si>
  <si>
    <t>Devyani International Limited</t>
  </si>
  <si>
    <t>3M India Limited</t>
  </si>
  <si>
    <t>Bank of India</t>
  </si>
  <si>
    <t>Carborundum Universal Limited</t>
  </si>
  <si>
    <t>Hindustan Aeronautics Limited</t>
  </si>
  <si>
    <t>Balkrishna Industries Limited</t>
  </si>
  <si>
    <t>Container Corporation of India Limited</t>
  </si>
  <si>
    <t>InterGlobe Aviation Limited</t>
  </si>
  <si>
    <t>Coromandel International Limited</t>
  </si>
  <si>
    <t>Astral Limited</t>
  </si>
  <si>
    <t>CG Power and Industrial Solutions Limited</t>
  </si>
  <si>
    <t>United Breweries Limited</t>
  </si>
  <si>
    <t>Mphasis Limited</t>
  </si>
  <si>
    <t>Trent Limited</t>
  </si>
  <si>
    <t>Blue Star Limited</t>
  </si>
  <si>
    <t>Mankind Pharma Limited</t>
  </si>
  <si>
    <t>Endurance Technologies Limited</t>
  </si>
  <si>
    <t>Page Industries Limited</t>
  </si>
  <si>
    <t>Schaeffler India Limited</t>
  </si>
  <si>
    <t>Gujarat Gas Limited</t>
  </si>
  <si>
    <t>Jubilant Foodworks Limited</t>
  </si>
  <si>
    <t>Hyundai Motor India Ltd</t>
  </si>
  <si>
    <t>Angel One Limited</t>
  </si>
  <si>
    <t>REC Limited</t>
  </si>
  <si>
    <t>HDFC Asset Management Company Limited</t>
  </si>
  <si>
    <t>Hindustan Petroleum Corporation Limited</t>
  </si>
  <si>
    <t>Dalmia Bharat Limited</t>
  </si>
  <si>
    <t>Mahindra &amp; Mahindra Financial Services Limited</t>
  </si>
  <si>
    <t>Union Bank of India</t>
  </si>
  <si>
    <t>FSN E-Commerce Ventures Limited</t>
  </si>
  <si>
    <t>The Indian Hotels Company Limited</t>
  </si>
  <si>
    <t>NLC India Limited</t>
  </si>
  <si>
    <t>Supreme Industries Limited</t>
  </si>
  <si>
    <t>Vishal Mega Mart Limited</t>
  </si>
  <si>
    <t>Bharat Electronics Limited</t>
  </si>
  <si>
    <t>IPCA Laboratories Limited</t>
  </si>
  <si>
    <t>Dixon Technologies (India) Limited</t>
  </si>
  <si>
    <t>Bharat Heavy Electricals Limited</t>
  </si>
  <si>
    <t>ICICI Lombard General Insurance Company Limited</t>
  </si>
  <si>
    <t>Torrent Power Limited</t>
  </si>
  <si>
    <t>NTPC Limited</t>
  </si>
  <si>
    <t>HDB Financial Services Limited</t>
  </si>
  <si>
    <t>ZF Commercial Vehicle Control Systems India Limited</t>
  </si>
  <si>
    <t>Gland Pharma Limited</t>
  </si>
  <si>
    <t>Eternal Limited</t>
  </si>
  <si>
    <t>Cummins India Limited</t>
  </si>
  <si>
    <t>Prestige Estates Projects Limited</t>
  </si>
  <si>
    <t>Lupin Limited</t>
  </si>
  <si>
    <t>Tube Investments of India Limited</t>
  </si>
  <si>
    <t>Max Healthcare Institute Limited</t>
  </si>
  <si>
    <t>APL Apollo Tubes Limited</t>
  </si>
  <si>
    <t>One 97 Communications Limited</t>
  </si>
  <si>
    <t>Alkem Laboratories Limited</t>
  </si>
  <si>
    <t>Varun Beverages Limited</t>
  </si>
  <si>
    <t>Bharat Forge Limited</t>
  </si>
  <si>
    <t>Indus Towers Limited</t>
  </si>
  <si>
    <t>Equity Holdings</t>
  </si>
  <si>
    <t>h9</t>
  </si>
  <si>
    <t>Fund Overall Oerview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</si>
</sst>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Yrs&quot;"/>
    <numFmt numFmtId="165" formatCode="0.00&quot; %&quot;"/>
  </numFmts>
  <fonts count="21" x14ac:knownFonts="1">
    <font>
      <sz val="11"/>
      <color theme="1"/>
      <name val="Calibri"/>
      <family val="2"/>
    </font>
    <font>
      <sz val="11"/>
      <color theme="1"/>
      <name val="Calibri"/>
      <family val="2"/>
    </font>
    <font>
      <b/>
      <sz val="11"/>
      <color theme="1"/>
      <name val="Calibri"/>
      <family val="2"/>
    </font>
    <font>
      <sz val="9"/>
      <color theme="0" tint="-0.34998626667073579"/>
      <name val="Century Gothic"/>
      <family val="2"/>
    </font>
    <font>
      <b/>
      <sz val="11"/>
      <color theme="0"/>
      <name val="Calibri"/>
      <family val="2"/>
    </font>
    <font>
      <sz val="10"/>
      <color rgb="FF000000"/>
      <name val="Arial"/>
      <family val="2"/>
    </font>
    <font>
      <sz val="11"/>
      <color theme="1"/>
      <name val="Century Gothic"/>
      <family val="2"/>
    </font>
    <font>
      <b/>
      <sz val="16"/>
      <color theme="0"/>
      <name val="Century Gothic"/>
      <family val="2"/>
    </font>
    <font>
      <sz val="14"/>
      <color theme="1"/>
      <name val="Century Gothic"/>
      <family val="2"/>
    </font>
    <font>
      <b/>
      <sz val="10"/>
      <color theme="1"/>
      <name val="Century Gothic"/>
      <family val="2"/>
    </font>
    <font>
      <b/>
      <sz val="11"/>
      <color theme="1"/>
      <name val="Century Gothic"/>
      <family val="2"/>
    </font>
    <font>
      <sz val="11"/>
      <color theme="0" tint="-0.34998626667073579"/>
      <name val="Century Gothic"/>
      <family val="2"/>
    </font>
    <font>
      <sz val="9"/>
      <color theme="1"/>
      <name val="Century Gothic"/>
      <family val="2"/>
    </font>
    <font>
      <i/>
      <sz val="9"/>
      <color theme="0" tint="-0.14999847407452621"/>
      <name val="Century Gothic"/>
      <family val="2"/>
    </font>
    <font>
      <sz val="9"/>
      <color rgb="FF000000"/>
      <name val="IBM-Plex-sans-Condensed-SemiBol"/>
    </font>
    <font>
      <i/>
      <sz val="9"/>
      <color theme="0" tint="-0.34998626667073579"/>
      <name val="Century Gothic"/>
      <family val="2"/>
    </font>
    <font>
      <i/>
      <sz val="8"/>
      <color theme="1"/>
      <name val="Century Gothic"/>
      <family val="2"/>
    </font>
    <font>
      <sz val="9"/>
      <color theme="1"/>
      <name val="Calibri"/>
      <family val="2"/>
    </font>
    <font>
      <sz val="10"/>
      <color theme="1"/>
      <name val="Century Gothic"/>
      <family val="2"/>
    </font>
    <font>
      <sz val="10"/>
      <color theme="1"/>
      <name val="Calibri"/>
      <family val="2"/>
    </font>
    <font>
      <b/>
      <sz val="11"/>
      <color theme="2" tint="-0.249977111117893"/>
      <name val="Century Gothic"/>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3"/>
        <bgColor indexed="64"/>
      </patternFill>
    </fill>
    <fill>
      <patternFill patternType="solid">
        <fgColor theme="1" tint="0.499984740745262"/>
        <bgColor indexed="64"/>
      </patternFill>
    </fill>
    <fill>
      <patternFill patternType="solid">
        <fgColor rgb="FF002060"/>
        <bgColor indexed="64"/>
      </patternFill>
    </fill>
  </fills>
  <borders count="9">
    <border>
      <left/>
      <right/>
      <top/>
      <bottom/>
      <diagonal/>
    </border>
    <border>
      <left/>
      <right/>
      <top style="medium">
        <color theme="4" tint="-0.24994659260841701"/>
      </top>
      <bottom style="medium">
        <color theme="4" tint="-0.24994659260841701"/>
      </bottom>
      <diagonal/>
    </border>
    <border>
      <left/>
      <right/>
      <top style="hair">
        <color auto="1"/>
      </top>
      <bottom style="hair">
        <color auto="1"/>
      </bottom>
      <diagonal/>
    </border>
    <border>
      <left/>
      <right/>
      <top style="medium">
        <color theme="4" tint="-0.24994659260841701"/>
      </top>
      <bottom/>
      <diagonal/>
    </border>
    <border>
      <left/>
      <right/>
      <top/>
      <bottom style="medium">
        <color auto="1"/>
      </bottom>
      <diagonal/>
    </border>
    <border>
      <left/>
      <right/>
      <top style="medium">
        <color auto="1"/>
      </top>
      <bottom style="medium">
        <color auto="1"/>
      </bottom>
      <diagonal/>
    </border>
    <border>
      <left/>
      <right/>
      <top style="medium">
        <color auto="1"/>
      </top>
      <bottom/>
      <diagonal/>
    </border>
    <border>
      <left/>
      <right/>
      <top/>
      <bottom style="hair">
        <color auto="1"/>
      </bottom>
      <diagonal/>
    </border>
    <border>
      <left/>
      <right/>
      <top style="thin">
        <color rgb="FF002060"/>
      </top>
      <bottom style="medium">
        <color rgb="FF002060"/>
      </bottom>
      <diagonal/>
    </border>
  </borders>
  <cellStyleXfs count="2">
    <xf numFmtId="0" fontId="0" fillId="0" borderId="0"/>
    <xf numFmtId="9" fontId="1" fillId="0" borderId="0" applyFont="0" applyFill="0" applyBorder="0" applyAlignment="0" applyProtection="0"/>
  </cellStyleXfs>
  <cellXfs count="96">
    <xf numFmtId="0" fontId="0" fillId="0" borderId="0" xfId="0"/>
    <xf numFmtId="0" fontId="3" fillId="0" borderId="0" xfId="0" applyFont="1"/>
    <xf numFmtId="0" fontId="0" fillId="0" borderId="2" xfId="0" applyBorder="1"/>
    <xf numFmtId="0" fontId="2" fillId="0" borderId="0" xfId="0" applyFont="1"/>
    <xf numFmtId="0" fontId="2" fillId="0" borderId="0" xfId="0" applyFont="1" applyAlignment="1">
      <alignment horizontal="right"/>
    </xf>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xf numFmtId="0" fontId="0" fillId="0" borderId="2" xfId="0" applyBorder="1" applyAlignment="1">
      <alignment horizontal="center"/>
    </xf>
    <xf numFmtId="3" fontId="0" fillId="0" borderId="2" xfId="0" applyNumberFormat="1" applyBorder="1"/>
    <xf numFmtId="10" fontId="0" fillId="0" borderId="2" xfId="0" applyNumberFormat="1" applyBorder="1"/>
    <xf numFmtId="3" fontId="5" fillId="0" borderId="2" xfId="0" applyNumberFormat="1" applyFont="1" applyBorder="1"/>
    <xf numFmtId="0" fontId="5" fillId="0" borderId="2" xfId="0" applyFont="1" applyBorder="1" applyAlignment="1">
      <alignment horizontal="right"/>
    </xf>
    <xf numFmtId="0" fontId="2" fillId="0" borderId="2" xfId="0" applyFont="1" applyBorder="1" applyAlignment="1">
      <alignment horizontal="right"/>
    </xf>
    <xf numFmtId="0" fontId="0" fillId="0" borderId="0" xfId="0" applyAlignment="1">
      <alignment horizontal="center"/>
    </xf>
    <xf numFmtId="3" fontId="0" fillId="0" borderId="0" xfId="0" applyNumberFormat="1"/>
    <xf numFmtId="0" fontId="6" fillId="0" borderId="0" xfId="0" applyFont="1"/>
    <xf numFmtId="0" fontId="3" fillId="0" borderId="2" xfId="0" applyFont="1" applyBorder="1"/>
    <xf numFmtId="0" fontId="11" fillId="0" borderId="2" xfId="0" applyFont="1" applyBorder="1"/>
    <xf numFmtId="15" fontId="3" fillId="0" borderId="2" xfId="0" applyNumberFormat="1" applyFont="1" applyBorder="1" applyAlignment="1">
      <alignment horizontal="right"/>
    </xf>
    <xf numFmtId="10" fontId="3" fillId="0" borderId="2" xfId="0" applyNumberFormat="1" applyFont="1" applyBorder="1"/>
    <xf numFmtId="3" fontId="3" fillId="0" borderId="2" xfId="0" applyNumberFormat="1" applyFont="1" applyBorder="1" applyAlignment="1">
      <alignment horizontal="right"/>
    </xf>
    <xf numFmtId="0" fontId="3" fillId="3" borderId="2" xfId="0" applyFont="1" applyFill="1" applyBorder="1"/>
    <xf numFmtId="10" fontId="3" fillId="3" borderId="2" xfId="0" applyNumberFormat="1" applyFont="1" applyFill="1" applyBorder="1"/>
    <xf numFmtId="0" fontId="3" fillId="0" borderId="2" xfId="0" applyFont="1" applyBorder="1" applyAlignment="1">
      <alignment horizontal="right"/>
    </xf>
    <xf numFmtId="10" fontId="3" fillId="0" borderId="2" xfId="0" applyNumberFormat="1" applyFont="1" applyBorder="1" applyAlignment="1">
      <alignment horizontal="right"/>
    </xf>
    <xf numFmtId="9" fontId="3" fillId="0" borderId="2" xfId="0" applyNumberFormat="1" applyFont="1" applyBorder="1" applyAlignment="1">
      <alignment horizontal="right"/>
    </xf>
    <xf numFmtId="0" fontId="11" fillId="0" borderId="0" xfId="0" applyFont="1"/>
    <xf numFmtId="0" fontId="11" fillId="2" borderId="0" xfId="0" applyFont="1" applyFill="1" applyAlignment="1">
      <alignment horizontal="right"/>
    </xf>
    <xf numFmtId="0" fontId="12" fillId="0" borderId="0" xfId="0" applyFont="1"/>
    <xf numFmtId="0" fontId="13" fillId="0" borderId="0" xfId="0" applyFont="1"/>
    <xf numFmtId="0" fontId="9" fillId="0" borderId="0" xfId="0" applyFont="1"/>
    <xf numFmtId="164" fontId="6" fillId="0" borderId="6" xfId="0" applyNumberFormat="1" applyFont="1" applyBorder="1"/>
    <xf numFmtId="0" fontId="6" fillId="6" borderId="0" xfId="0" applyFont="1" applyFill="1"/>
    <xf numFmtId="0" fontId="6" fillId="3" borderId="0" xfId="0" applyFont="1" applyFill="1"/>
    <xf numFmtId="164" fontId="6" fillId="0" borderId="6" xfId="0" applyNumberFormat="1" applyFont="1" applyBorder="1" applyAlignment="1">
      <alignment horizontal="right"/>
    </xf>
    <xf numFmtId="0" fontId="4" fillId="7" borderId="0" xfId="0" applyFont="1" applyFill="1" applyAlignment="1">
      <alignment horizontal="right"/>
    </xf>
    <xf numFmtId="9" fontId="0" fillId="0" borderId="0" xfId="1" applyFont="1"/>
    <xf numFmtId="0" fontId="10" fillId="0" borderId="4" xfId="0" applyFont="1" applyBorder="1" applyAlignment="1">
      <alignment horizontal="center"/>
    </xf>
    <xf numFmtId="0" fontId="12" fillId="3" borderId="2" xfId="0" applyFont="1" applyFill="1" applyBorder="1"/>
    <xf numFmtId="0" fontId="6" fillId="3" borderId="2" xfId="0" applyFont="1" applyFill="1" applyBorder="1"/>
    <xf numFmtId="10" fontId="12" fillId="3" borderId="2" xfId="0" applyNumberFormat="1" applyFont="1" applyFill="1" applyBorder="1"/>
    <xf numFmtId="10" fontId="6" fillId="3" borderId="2" xfId="0" applyNumberFormat="1" applyFont="1" applyFill="1" applyBorder="1"/>
    <xf numFmtId="4" fontId="12" fillId="0" borderId="2" xfId="0" applyNumberFormat="1" applyFont="1" applyBorder="1" applyAlignment="1">
      <alignment horizontal="left"/>
    </xf>
    <xf numFmtId="4" fontId="12" fillId="0" borderId="2" xfId="0" applyNumberFormat="1" applyFont="1" applyBorder="1"/>
    <xf numFmtId="0" fontId="12" fillId="0" borderId="2" xfId="0" applyFont="1" applyBorder="1"/>
    <xf numFmtId="10" fontId="12" fillId="0" borderId="2" xfId="0" applyNumberFormat="1" applyFont="1" applyBorder="1"/>
    <xf numFmtId="10" fontId="12" fillId="3" borderId="2" xfId="1" applyNumberFormat="1" applyFont="1" applyFill="1" applyBorder="1"/>
    <xf numFmtId="3" fontId="12" fillId="3" borderId="2" xfId="1" applyNumberFormat="1" applyFont="1" applyFill="1" applyBorder="1"/>
    <xf numFmtId="0" fontId="6" fillId="0" borderId="2" xfId="0" applyFont="1" applyBorder="1"/>
    <xf numFmtId="3" fontId="12" fillId="0" borderId="2" xfId="1" applyNumberFormat="1" applyFont="1" applyBorder="1"/>
    <xf numFmtId="0" fontId="6" fillId="0" borderId="0" xfId="0" applyFont="1" applyAlignment="1">
      <alignment horizontal="right"/>
    </xf>
    <xf numFmtId="0" fontId="14" fillId="0" borderId="0" xfId="0" applyFont="1"/>
    <xf numFmtId="0" fontId="12" fillId="0" borderId="0" xfId="0" applyFont="1" applyAlignment="1">
      <alignment horizontal="center"/>
    </xf>
    <xf numFmtId="0" fontId="15" fillId="0" borderId="0" xfId="0" applyFont="1"/>
    <xf numFmtId="165" fontId="12" fillId="0" borderId="0" xfId="0" applyNumberFormat="1" applyFont="1"/>
    <xf numFmtId="165" fontId="12" fillId="0" borderId="0" xfId="0" applyNumberFormat="1" applyFont="1" applyAlignment="1">
      <alignment horizontal="center"/>
    </xf>
    <xf numFmtId="0" fontId="16" fillId="0" borderId="0" xfId="0" applyFont="1"/>
    <xf numFmtId="0" fontId="2" fillId="0" borderId="0" xfId="0" applyFont="1" applyAlignment="1">
      <alignment horizontal="center" vertical="center" wrapText="1"/>
    </xf>
    <xf numFmtId="0" fontId="0" fillId="0" borderId="0" xfId="0" applyAlignment="1">
      <alignment vertical="center" wrapText="1"/>
    </xf>
    <xf numFmtId="0" fontId="12" fillId="0" borderId="0" xfId="0" applyFont="1" applyAlignment="1">
      <alignment vertical="center" wrapText="1"/>
    </xf>
    <xf numFmtId="0" fontId="6" fillId="0" borderId="0" xfId="0" applyFont="1" applyAlignment="1">
      <alignment horizontal="center"/>
    </xf>
    <xf numFmtId="0" fontId="12" fillId="0" borderId="2" xfId="0" applyFont="1" applyBorder="1" applyAlignment="1">
      <alignment vertical="center" wrapText="1"/>
    </xf>
    <xf numFmtId="0" fontId="6" fillId="0" borderId="7" xfId="0" applyFont="1" applyBorder="1"/>
    <xf numFmtId="0" fontId="6" fillId="0" borderId="4" xfId="0" applyFont="1" applyBorder="1"/>
    <xf numFmtId="0" fontId="2" fillId="0" borderId="4" xfId="0" applyFont="1" applyBorder="1" applyAlignment="1">
      <alignment horizontal="right" vertical="center" wrapText="1"/>
    </xf>
    <xf numFmtId="0" fontId="12" fillId="0" borderId="7" xfId="0" applyFont="1" applyBorder="1" applyAlignment="1">
      <alignment vertical="center" wrapText="1"/>
    </xf>
    <xf numFmtId="2" fontId="12" fillId="0" borderId="2" xfId="0" applyNumberFormat="1" applyFont="1" applyBorder="1" applyAlignment="1">
      <alignment vertical="center" wrapText="1"/>
    </xf>
    <xf numFmtId="0" fontId="19" fillId="0" borderId="7" xfId="0" applyFont="1" applyBorder="1" applyAlignment="1">
      <alignment vertical="center" wrapText="1"/>
    </xf>
    <xf numFmtId="0" fontId="18" fillId="0" borderId="7" xfId="0" applyFont="1" applyBorder="1"/>
    <xf numFmtId="0" fontId="19" fillId="0" borderId="2" xfId="0" applyFont="1" applyBorder="1" applyAlignment="1">
      <alignment vertical="center" wrapText="1"/>
    </xf>
    <xf numFmtId="0" fontId="18" fillId="0" borderId="2" xfId="0" applyFont="1" applyBorder="1"/>
    <xf numFmtId="0" fontId="17" fillId="0" borderId="7" xfId="0" applyFont="1" applyBorder="1" applyAlignment="1">
      <alignment horizontal="left" vertical="center" wrapText="1"/>
    </xf>
    <xf numFmtId="0" fontId="18" fillId="0" borderId="7" xfId="0" applyFont="1" applyBorder="1" applyAlignment="1">
      <alignment horizontal="left"/>
    </xf>
    <xf numFmtId="0" fontId="17" fillId="0" borderId="2" xfId="0" applyFont="1" applyBorder="1" applyAlignment="1">
      <alignment horizontal="left" vertical="center" wrapText="1"/>
    </xf>
    <xf numFmtId="0" fontId="18" fillId="0" borderId="2" xfId="0" applyFont="1" applyBorder="1" applyAlignment="1">
      <alignment horizontal="left"/>
    </xf>
    <xf numFmtId="0" fontId="9" fillId="0" borderId="4" xfId="0" applyFont="1" applyBorder="1" applyAlignment="1">
      <alignment horizontal="left" vertical="center" wrapText="1"/>
    </xf>
    <xf numFmtId="0" fontId="9" fillId="0" borderId="4" xfId="0" applyFont="1" applyBorder="1"/>
    <xf numFmtId="0" fontId="10" fillId="0" borderId="4" xfId="0" applyFont="1" applyBorder="1"/>
    <xf numFmtId="0" fontId="9" fillId="0" borderId="4" xfId="0" applyFont="1" applyBorder="1" applyAlignment="1">
      <alignment horizontal="right"/>
    </xf>
    <xf numFmtId="0" fontId="12" fillId="0" borderId="0" xfId="0" applyFont="1"/>
    <xf numFmtId="0" fontId="17" fillId="0" borderId="2" xfId="0" applyFont="1" applyBorder="1" applyAlignment="1">
      <alignment horizontal="left" vertical="center" wrapText="1"/>
    </xf>
    <xf numFmtId="0" fontId="12" fillId="0" borderId="2" xfId="0" applyFont="1" applyBorder="1" applyAlignment="1">
      <alignment horizontal="left" vertical="center" wrapText="1"/>
    </xf>
    <xf numFmtId="0" fontId="20" fillId="0" borderId="8" xfId="0" applyFont="1" applyBorder="1" applyAlignment="1">
      <alignment horizontal="center"/>
    </xf>
    <xf numFmtId="0" fontId="20" fillId="0" borderId="8" xfId="0" applyFont="1" applyBorder="1" applyAlignment="1">
      <alignment horizontal="center" vertical="center"/>
    </xf>
    <xf numFmtId="0" fontId="7" fillId="4" borderId="0" xfId="0" applyFont="1" applyFill="1" applyAlignment="1">
      <alignment horizontal="center"/>
    </xf>
    <xf numFmtId="0" fontId="8" fillId="0" borderId="4" xfId="0" applyFont="1" applyBorder="1" applyAlignment="1">
      <alignment horizontal="center"/>
    </xf>
    <xf numFmtId="0" fontId="9" fillId="0" borderId="1" xfId="0" applyFont="1" applyBorder="1" applyAlignment="1">
      <alignment horizontal="left" vertical="top"/>
    </xf>
    <xf numFmtId="0" fontId="10" fillId="0" borderId="1" xfId="0" applyFont="1" applyBorder="1" applyAlignment="1">
      <alignment horizontal="left"/>
    </xf>
    <xf numFmtId="0" fontId="6" fillId="0" borderId="1" xfId="0" applyFont="1" applyBorder="1" applyAlignment="1">
      <alignment horizontal="left"/>
    </xf>
    <xf numFmtId="0" fontId="10" fillId="0" borderId="4" xfId="0" applyFont="1" applyBorder="1" applyAlignment="1">
      <alignment horizontal="center"/>
    </xf>
    <xf numFmtId="0" fontId="10" fillId="0" borderId="5" xfId="0" applyFont="1" applyBorder="1" applyAlignment="1">
      <alignment horizontal="left"/>
    </xf>
    <xf numFmtId="0" fontId="11" fillId="0" borderId="3" xfId="0" applyFont="1" applyBorder="1" applyAlignment="1">
      <alignment horizontal="justify" vertical="justify" wrapText="1"/>
    </xf>
    <xf numFmtId="0" fontId="11" fillId="0" borderId="0" xfId="0" applyFont="1" applyAlignment="1">
      <alignment horizontal="justify" vertical="justify" wrapText="1"/>
    </xf>
    <xf numFmtId="0" fontId="4" fillId="5" borderId="0" xfId="0" applyFont="1" applyFill="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934463141345915E-2"/>
          <c:y val="0.22399368557191221"/>
          <c:w val="0.53412273338929084"/>
          <c:h val="0.60998364334892918"/>
        </c:manualLayout>
      </c:layout>
      <c:doughnutChart>
        <c:varyColors val="1"/>
        <c:ser>
          <c:idx val="0"/>
          <c:order val="0"/>
          <c:tx>
            <c:strRef>
              <c:f>'sector '!$C$2</c:f>
              <c:strCache>
                <c:ptCount val="1"/>
                <c:pt idx="0">
                  <c:v>Allocation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61-4234-AA61-96758DC57F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61-4234-AA61-96758DC57F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61-4234-AA61-96758DC57F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61-4234-AA61-96758DC57F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61-4234-AA61-96758DC57FBA}"/>
              </c:ext>
            </c:extLst>
          </c:dPt>
          <c:dLbls>
            <c:spPr>
              <a:noFill/>
              <a:ln>
                <a:solidFill>
                  <a:schemeClr val="bg1"/>
                </a:solidFill>
                <a:prstDash val="sysDot"/>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'sector '!$B$3:$B$7</c:f>
              <c:strCache>
                <c:ptCount val="5"/>
                <c:pt idx="0">
                  <c:v>Financials</c:v>
                </c:pt>
                <c:pt idx="1">
                  <c:v>Automobile and Ancillaries</c:v>
                </c:pt>
                <c:pt idx="2">
                  <c:v>Healthcare</c:v>
                </c:pt>
                <c:pt idx="3">
                  <c:v>Consumer Durables</c:v>
                </c:pt>
                <c:pt idx="4">
                  <c:v>Energy</c:v>
                </c:pt>
              </c:strCache>
            </c:strRef>
          </c:cat>
          <c:val>
            <c:numRef>
              <c:f>'sector '!$C$3:$C$7</c:f>
              <c:numCache>
                <c:formatCode>0.00%</c:formatCode>
                <c:ptCount val="5"/>
                <c:pt idx="0">
                  <c:v>0.27029999999999998</c:v>
                </c:pt>
                <c:pt idx="1">
                  <c:v>0.13449999999999998</c:v>
                </c:pt>
                <c:pt idx="2">
                  <c:v>0.11399999999999999</c:v>
                </c:pt>
                <c:pt idx="3">
                  <c:v>7.1099999999999983E-2</c:v>
                </c:pt>
                <c:pt idx="4">
                  <c:v>6.8400000000000002E-2</c:v>
                </c:pt>
              </c:numCache>
            </c:numRef>
          </c:val>
          <c:extLst>
            <c:ext xmlns:c16="http://schemas.microsoft.com/office/drawing/2014/chart" uri="{C3380CC4-5D6E-409C-BE32-E72D297353CC}">
              <c16:uniqueId val="{0000000A-B961-4234-AA61-96758DC57FB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2456386701662292"/>
          <c:y val="0.25376020705745117"/>
          <c:w val="0.37543616992440332"/>
          <c:h val="0.59620267600607746"/>
        </c:manualLayout>
      </c:layout>
      <c:overlay val="0"/>
      <c:spPr>
        <a:noFill/>
        <a:ln>
          <a:noFill/>
          <a:prstDash val="sysDot"/>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885793882803802"/>
          <c:y val="6.2483395160734846E-2"/>
          <c:w val="0.63225555658082544"/>
          <c:h val="0.70282175668539526"/>
        </c:manualLayout>
      </c:layout>
      <c:barChart>
        <c:barDir val="col"/>
        <c:grouping val="clustered"/>
        <c:varyColors val="0"/>
        <c:ser>
          <c:idx val="0"/>
          <c:order val="0"/>
          <c:tx>
            <c:strRef>
              <c:f>Sheet2!$C$3</c:f>
              <c:strCache>
                <c:ptCount val="1"/>
                <c:pt idx="0">
                  <c:v>Invested Value</c:v>
                </c:pt>
              </c:strCache>
            </c:strRef>
          </c:tx>
          <c:spPr>
            <a:solidFill>
              <a:schemeClr val="accent1"/>
            </a:solidFill>
            <a:ln>
              <a:noFill/>
            </a:ln>
            <a:effectLst/>
          </c:spPr>
          <c:invertIfNegative val="0"/>
          <c:cat>
            <c:numRef>
              <c:f>Sheet2!$B$4:$B$9</c:f>
              <c:numCache>
                <c:formatCode>General</c:formatCode>
                <c:ptCount val="6"/>
                <c:pt idx="0">
                  <c:v>1</c:v>
                </c:pt>
                <c:pt idx="1">
                  <c:v>2</c:v>
                </c:pt>
                <c:pt idx="2">
                  <c:v>3</c:v>
                </c:pt>
                <c:pt idx="3">
                  <c:v>5</c:v>
                </c:pt>
                <c:pt idx="4">
                  <c:v>7</c:v>
                </c:pt>
                <c:pt idx="5">
                  <c:v>10</c:v>
                </c:pt>
              </c:numCache>
            </c:numRef>
          </c:cat>
          <c:val>
            <c:numRef>
              <c:f>Sheet2!$C$4:$C$9</c:f>
              <c:numCache>
                <c:formatCode>#,##0</c:formatCode>
                <c:ptCount val="6"/>
                <c:pt idx="0">
                  <c:v>120000</c:v>
                </c:pt>
                <c:pt idx="1">
                  <c:v>240000</c:v>
                </c:pt>
                <c:pt idx="2">
                  <c:v>360000</c:v>
                </c:pt>
                <c:pt idx="3">
                  <c:v>600000</c:v>
                </c:pt>
                <c:pt idx="4">
                  <c:v>840000</c:v>
                </c:pt>
                <c:pt idx="5">
                  <c:v>1200000</c:v>
                </c:pt>
              </c:numCache>
            </c:numRef>
          </c:val>
          <c:extLst>
            <c:ext xmlns:c16="http://schemas.microsoft.com/office/drawing/2014/chart" uri="{C3380CC4-5D6E-409C-BE32-E72D297353CC}">
              <c16:uniqueId val="{00000000-BD2B-4676-907E-385238D7F7FD}"/>
            </c:ext>
          </c:extLst>
        </c:ser>
        <c:ser>
          <c:idx val="1"/>
          <c:order val="1"/>
          <c:tx>
            <c:strRef>
              <c:f>Sheet2!$D$3</c:f>
              <c:strCache>
                <c:ptCount val="1"/>
                <c:pt idx="0">
                  <c:v>Market Value </c:v>
                </c:pt>
              </c:strCache>
            </c:strRef>
          </c:tx>
          <c:spPr>
            <a:solidFill>
              <a:schemeClr val="accent2"/>
            </a:solidFill>
            <a:ln>
              <a:noFill/>
            </a:ln>
            <a:effectLst/>
          </c:spPr>
          <c:invertIfNegative val="0"/>
          <c:cat>
            <c:numRef>
              <c:f>Sheet2!$B$4:$B$9</c:f>
              <c:numCache>
                <c:formatCode>General</c:formatCode>
                <c:ptCount val="6"/>
                <c:pt idx="0">
                  <c:v>1</c:v>
                </c:pt>
                <c:pt idx="1">
                  <c:v>2</c:v>
                </c:pt>
                <c:pt idx="2">
                  <c:v>3</c:v>
                </c:pt>
                <c:pt idx="3">
                  <c:v>5</c:v>
                </c:pt>
                <c:pt idx="4">
                  <c:v>7</c:v>
                </c:pt>
                <c:pt idx="5">
                  <c:v>10</c:v>
                </c:pt>
              </c:numCache>
            </c:numRef>
          </c:cat>
          <c:val>
            <c:numRef>
              <c:f>Sheet2!$D$4:$D$9</c:f>
              <c:numCache>
                <c:formatCode>#,##0</c:formatCode>
                <c:ptCount val="6"/>
                <c:pt idx="0">
                  <c:v>125636</c:v>
                </c:pt>
                <c:pt idx="1">
                  <c:v>265538</c:v>
                </c:pt>
                <c:pt idx="2">
                  <c:v>479056</c:v>
                </c:pt>
                <c:pt idx="3">
                  <c:v>1033168</c:v>
                </c:pt>
                <c:pt idx="4">
                  <c:v>2007828</c:v>
                </c:pt>
                <c:pt idx="5">
                  <c:v>3692981</c:v>
                </c:pt>
              </c:numCache>
            </c:numRef>
          </c:val>
          <c:extLst>
            <c:ext xmlns:c16="http://schemas.microsoft.com/office/drawing/2014/chart" uri="{C3380CC4-5D6E-409C-BE32-E72D297353CC}">
              <c16:uniqueId val="{00000001-BD2B-4676-907E-385238D7F7FD}"/>
            </c:ext>
          </c:extLst>
        </c:ser>
        <c:dLbls>
          <c:showLegendKey val="0"/>
          <c:showVal val="0"/>
          <c:showCatName val="0"/>
          <c:showSerName val="0"/>
          <c:showPercent val="0"/>
          <c:showBubbleSize val="0"/>
        </c:dLbls>
        <c:gapWidth val="219"/>
        <c:overlap val="-27"/>
        <c:axId val="1318057152"/>
        <c:axId val="1318055712"/>
      </c:barChart>
      <c:lineChart>
        <c:grouping val="standard"/>
        <c:varyColors val="0"/>
        <c:ser>
          <c:idx val="2"/>
          <c:order val="2"/>
          <c:tx>
            <c:strRef>
              <c:f>Sheet2!$E$3</c:f>
              <c:strCache>
                <c:ptCount val="1"/>
                <c:pt idx="0">
                  <c:v>XIRR</c:v>
                </c:pt>
              </c:strCache>
            </c:strRef>
          </c:tx>
          <c:spPr>
            <a:ln w="9525" cap="rnd">
              <a:solidFill>
                <a:schemeClr val="bg1">
                  <a:lumMod val="65000"/>
                </a:schemeClr>
              </a:solidFill>
              <a:round/>
            </a:ln>
            <a:effectLst/>
          </c:spPr>
          <c:marker>
            <c:symbol val="circle"/>
            <c:size val="3"/>
            <c:spPr>
              <a:solidFill>
                <a:schemeClr val="accent3"/>
              </a:solidFill>
              <a:ln w="9525">
                <a:solidFill>
                  <a:schemeClr val="accent3"/>
                </a:solidFill>
              </a:ln>
              <a:effectLst/>
            </c:spPr>
          </c:marker>
          <c:cat>
            <c:numRef>
              <c:f>Sheet2!$B$4:$B$9</c:f>
              <c:numCache>
                <c:formatCode>General</c:formatCode>
                <c:ptCount val="6"/>
                <c:pt idx="0">
                  <c:v>1</c:v>
                </c:pt>
                <c:pt idx="1">
                  <c:v>2</c:v>
                </c:pt>
                <c:pt idx="2">
                  <c:v>3</c:v>
                </c:pt>
                <c:pt idx="3">
                  <c:v>5</c:v>
                </c:pt>
                <c:pt idx="4">
                  <c:v>7</c:v>
                </c:pt>
                <c:pt idx="5">
                  <c:v>10</c:v>
                </c:pt>
              </c:numCache>
            </c:numRef>
          </c:cat>
          <c:val>
            <c:numRef>
              <c:f>Sheet2!$E$4:$E$9</c:f>
              <c:numCache>
                <c:formatCode>0.00%</c:formatCode>
                <c:ptCount val="6"/>
                <c:pt idx="0">
                  <c:v>8.3099999999999993E-2</c:v>
                </c:pt>
                <c:pt idx="1">
                  <c:v>0.10059999999999999</c:v>
                </c:pt>
                <c:pt idx="2">
                  <c:v>0.19470000000000001</c:v>
                </c:pt>
                <c:pt idx="3">
                  <c:v>0.219</c:v>
                </c:pt>
                <c:pt idx="4">
                  <c:v>0.24490000000000001</c:v>
                </c:pt>
                <c:pt idx="5">
                  <c:v>0.21299999999999999</c:v>
                </c:pt>
              </c:numCache>
            </c:numRef>
          </c:val>
          <c:smooth val="0"/>
          <c:extLst>
            <c:ext xmlns:c16="http://schemas.microsoft.com/office/drawing/2014/chart" uri="{C3380CC4-5D6E-409C-BE32-E72D297353CC}">
              <c16:uniqueId val="{00000002-BD2B-4676-907E-385238D7F7FD}"/>
            </c:ext>
          </c:extLst>
        </c:ser>
        <c:dLbls>
          <c:showLegendKey val="0"/>
          <c:showVal val="0"/>
          <c:showCatName val="0"/>
          <c:showSerName val="0"/>
          <c:showPercent val="0"/>
          <c:showBubbleSize val="0"/>
        </c:dLbls>
        <c:marker val="1"/>
        <c:smooth val="0"/>
        <c:axId val="1074779632"/>
        <c:axId val="1074778672"/>
      </c:lineChart>
      <c:catAx>
        <c:axId val="1318057152"/>
        <c:scaling>
          <c:orientation val="minMax"/>
        </c:scaling>
        <c:delete val="0"/>
        <c:axPos val="b"/>
        <c:numFmt formatCode="0&quot;Yrs&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8055712"/>
        <c:crosses val="autoZero"/>
        <c:auto val="1"/>
        <c:lblAlgn val="ctr"/>
        <c:lblOffset val="100"/>
        <c:noMultiLvlLbl val="0"/>
      </c:catAx>
      <c:valAx>
        <c:axId val="13180557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057152"/>
        <c:crosses val="autoZero"/>
        <c:crossBetween val="between"/>
      </c:valAx>
      <c:valAx>
        <c:axId val="1074778672"/>
        <c:scaling>
          <c:orientation val="minMax"/>
          <c:min val="5.000000000000001E-2"/>
        </c:scaling>
        <c:delete val="0"/>
        <c:axPos val="r"/>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779632"/>
        <c:crosses val="max"/>
        <c:crossBetween val="between"/>
      </c:valAx>
      <c:catAx>
        <c:axId val="1074779632"/>
        <c:scaling>
          <c:orientation val="minMax"/>
        </c:scaling>
        <c:delete val="1"/>
        <c:axPos val="b"/>
        <c:numFmt formatCode="General" sourceLinked="1"/>
        <c:majorTickMark val="none"/>
        <c:minorTickMark val="none"/>
        <c:tickLblPos val="nextTo"/>
        <c:crossAx val="10747786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Sheet2!$C$12</c:f>
              <c:strCache>
                <c:ptCount val="1"/>
                <c:pt idx="0">
                  <c:v>Invested Value</c:v>
                </c:pt>
              </c:strCache>
            </c:strRef>
          </c:tx>
          <c:spPr>
            <a:solidFill>
              <a:schemeClr val="accent1"/>
            </a:solidFill>
            <a:ln>
              <a:noFill/>
            </a:ln>
            <a:effectLst/>
          </c:spPr>
          <c:invertIfNegative val="0"/>
          <c:cat>
            <c:numRef>
              <c:f>Sheet2!$B$13:$B$17</c:f>
              <c:numCache>
                <c:formatCode>General</c:formatCode>
                <c:ptCount val="5"/>
                <c:pt idx="0">
                  <c:v>1</c:v>
                </c:pt>
                <c:pt idx="1">
                  <c:v>2</c:v>
                </c:pt>
                <c:pt idx="2">
                  <c:v>3</c:v>
                </c:pt>
                <c:pt idx="3">
                  <c:v>5</c:v>
                </c:pt>
                <c:pt idx="4">
                  <c:v>7</c:v>
                </c:pt>
              </c:numCache>
            </c:numRef>
          </c:cat>
          <c:val>
            <c:numRef>
              <c:f>Sheet2!$C$13:$C$17</c:f>
              <c:numCache>
                <c:formatCode>General</c:formatCode>
                <c:ptCount val="5"/>
                <c:pt idx="0" formatCode="#,##0">
                  <c:v>120000</c:v>
                </c:pt>
                <c:pt idx="1">
                  <c:v>0</c:v>
                </c:pt>
                <c:pt idx="2" formatCode="#,##0">
                  <c:v>397200</c:v>
                </c:pt>
                <c:pt idx="3" formatCode="#,##0">
                  <c:v>732612</c:v>
                </c:pt>
                <c:pt idx="4" formatCode="#,##0">
                  <c:v>1138461</c:v>
                </c:pt>
              </c:numCache>
            </c:numRef>
          </c:val>
          <c:extLst>
            <c:ext xmlns:c16="http://schemas.microsoft.com/office/drawing/2014/chart" uri="{C3380CC4-5D6E-409C-BE32-E72D297353CC}">
              <c16:uniqueId val="{00000000-C19E-4005-8BA2-BAD5090CA818}"/>
            </c:ext>
          </c:extLst>
        </c:ser>
        <c:ser>
          <c:idx val="1"/>
          <c:order val="1"/>
          <c:tx>
            <c:strRef>
              <c:f>Sheet2!$D$12</c:f>
              <c:strCache>
                <c:ptCount val="1"/>
                <c:pt idx="0">
                  <c:v>Market Value </c:v>
                </c:pt>
              </c:strCache>
            </c:strRef>
          </c:tx>
          <c:spPr>
            <a:solidFill>
              <a:schemeClr val="accent2"/>
            </a:solidFill>
            <a:ln>
              <a:noFill/>
            </a:ln>
            <a:effectLst/>
          </c:spPr>
          <c:invertIfNegative val="0"/>
          <c:cat>
            <c:numRef>
              <c:f>Sheet2!$B$13:$B$17</c:f>
              <c:numCache>
                <c:formatCode>General</c:formatCode>
                <c:ptCount val="5"/>
                <c:pt idx="0">
                  <c:v>1</c:v>
                </c:pt>
                <c:pt idx="1">
                  <c:v>2</c:v>
                </c:pt>
                <c:pt idx="2">
                  <c:v>3</c:v>
                </c:pt>
                <c:pt idx="3">
                  <c:v>5</c:v>
                </c:pt>
                <c:pt idx="4">
                  <c:v>7</c:v>
                </c:pt>
              </c:numCache>
            </c:numRef>
          </c:cat>
          <c:val>
            <c:numRef>
              <c:f>Sheet2!$D$13:$D$17</c:f>
              <c:numCache>
                <c:formatCode>#,##0</c:formatCode>
                <c:ptCount val="5"/>
                <c:pt idx="0">
                  <c:v>125636</c:v>
                </c:pt>
                <c:pt idx="1">
                  <c:v>278102</c:v>
                </c:pt>
                <c:pt idx="2">
                  <c:v>519430</c:v>
                </c:pt>
                <c:pt idx="3">
                  <c:v>1207847</c:v>
                </c:pt>
                <c:pt idx="4">
                  <c:v>2484871</c:v>
                </c:pt>
              </c:numCache>
            </c:numRef>
          </c:val>
          <c:extLst>
            <c:ext xmlns:c16="http://schemas.microsoft.com/office/drawing/2014/chart" uri="{C3380CC4-5D6E-409C-BE32-E72D297353CC}">
              <c16:uniqueId val="{00000001-C19E-4005-8BA2-BAD5090CA818}"/>
            </c:ext>
          </c:extLst>
        </c:ser>
        <c:dLbls>
          <c:showLegendKey val="0"/>
          <c:showVal val="0"/>
          <c:showCatName val="0"/>
          <c:showSerName val="0"/>
          <c:showPercent val="0"/>
          <c:showBubbleSize val="0"/>
        </c:dLbls>
        <c:gapWidth val="219"/>
        <c:axId val="1319411200"/>
        <c:axId val="1319413120"/>
      </c:barChart>
      <c:lineChart>
        <c:grouping val="standard"/>
        <c:varyColors val="0"/>
        <c:ser>
          <c:idx val="2"/>
          <c:order val="2"/>
          <c:tx>
            <c:strRef>
              <c:f>Sheet2!$E$12</c:f>
              <c:strCache>
                <c:ptCount val="1"/>
                <c:pt idx="0">
                  <c:v>XIRR</c:v>
                </c:pt>
              </c:strCache>
            </c:strRef>
          </c:tx>
          <c:spPr>
            <a:ln w="9525" cap="rnd">
              <a:solidFill>
                <a:schemeClr val="bg1">
                  <a:lumMod val="65000"/>
                </a:schemeClr>
              </a:solidFill>
              <a:round/>
            </a:ln>
            <a:effectLst/>
          </c:spPr>
          <c:marker>
            <c:symbol val="circle"/>
            <c:size val="3"/>
            <c:spPr>
              <a:solidFill>
                <a:schemeClr val="accent3"/>
              </a:solidFill>
              <a:ln w="9525">
                <a:solidFill>
                  <a:schemeClr val="accent3"/>
                </a:solidFill>
              </a:ln>
              <a:effectLst/>
            </c:spPr>
          </c:marker>
          <c:cat>
            <c:numRef>
              <c:f>Sheet2!$B$13:$B$17</c:f>
              <c:numCache>
                <c:formatCode>General</c:formatCode>
                <c:ptCount val="5"/>
                <c:pt idx="0">
                  <c:v>1</c:v>
                </c:pt>
                <c:pt idx="1">
                  <c:v>2</c:v>
                </c:pt>
                <c:pt idx="2">
                  <c:v>3</c:v>
                </c:pt>
                <c:pt idx="3">
                  <c:v>5</c:v>
                </c:pt>
                <c:pt idx="4">
                  <c:v>7</c:v>
                </c:pt>
              </c:numCache>
            </c:numRef>
          </c:cat>
          <c:val>
            <c:numRef>
              <c:f>Sheet2!$E$13:$E$17</c:f>
              <c:numCache>
                <c:formatCode>0.00%</c:formatCode>
                <c:ptCount val="5"/>
                <c:pt idx="0">
                  <c:v>8.3099999999999993E-2</c:v>
                </c:pt>
                <c:pt idx="1">
                  <c:v>0.1003</c:v>
                </c:pt>
                <c:pt idx="2">
                  <c:v>0.19009999999999999</c:v>
                </c:pt>
                <c:pt idx="3">
                  <c:v>0.21629999999999999</c:v>
                </c:pt>
                <c:pt idx="4">
                  <c:v>0.24210000000000001</c:v>
                </c:pt>
              </c:numCache>
            </c:numRef>
          </c:val>
          <c:smooth val="0"/>
          <c:extLst>
            <c:ext xmlns:c16="http://schemas.microsoft.com/office/drawing/2014/chart" uri="{C3380CC4-5D6E-409C-BE32-E72D297353CC}">
              <c16:uniqueId val="{00000002-C19E-4005-8BA2-BAD5090CA818}"/>
            </c:ext>
          </c:extLst>
        </c:ser>
        <c:dLbls>
          <c:showLegendKey val="0"/>
          <c:showVal val="0"/>
          <c:showCatName val="0"/>
          <c:showSerName val="0"/>
          <c:showPercent val="0"/>
          <c:showBubbleSize val="0"/>
        </c:dLbls>
        <c:marker val="1"/>
        <c:smooth val="0"/>
        <c:axId val="1373929824"/>
        <c:axId val="1373935104"/>
      </c:lineChart>
      <c:catAx>
        <c:axId val="1319411200"/>
        <c:scaling>
          <c:orientation val="minMax"/>
        </c:scaling>
        <c:delete val="0"/>
        <c:axPos val="b"/>
        <c:numFmt formatCode="0&quot;Yrs&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9413120"/>
        <c:crosses val="autoZero"/>
        <c:auto val="1"/>
        <c:lblAlgn val="ctr"/>
        <c:lblOffset val="100"/>
        <c:noMultiLvlLbl val="0"/>
      </c:catAx>
      <c:valAx>
        <c:axId val="13194131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411200"/>
        <c:crosses val="autoZero"/>
        <c:crossBetween val="between"/>
      </c:valAx>
      <c:valAx>
        <c:axId val="1373935104"/>
        <c:scaling>
          <c:orientation val="minMax"/>
          <c:max val="0.30000000000000004"/>
          <c:min val="5.000000000000001E-2"/>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929824"/>
        <c:crosses val="max"/>
        <c:crossBetween val="between"/>
      </c:valAx>
      <c:catAx>
        <c:axId val="1373929824"/>
        <c:scaling>
          <c:orientation val="minMax"/>
        </c:scaling>
        <c:delete val="1"/>
        <c:axPos val="b"/>
        <c:numFmt formatCode="General" sourceLinked="1"/>
        <c:majorTickMark val="out"/>
        <c:minorTickMark val="none"/>
        <c:tickLblPos val="nextTo"/>
        <c:crossAx val="13739351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[Mutual Fund Report- Working.xlsx]Portfolio!PivotTable2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Portfolio!$G$4</c:f>
              <c:strCache>
                <c:ptCount val="1"/>
                <c:pt idx="0">
                  <c:v>Total</c:v>
                </c:pt>
              </c:strCache>
            </c:strRef>
          </c:tx>
          <c:spPr>
            <a:solidFill>
              <a:schemeClr val="accent1"/>
            </a:solidFill>
            <a:ln>
              <a:noFill/>
            </a:ln>
            <a:effectLst/>
          </c:spPr>
          <c:invertIfNegative val="0"/>
          <c:cat>
            <c:strRef>
              <c:f>Portfolio!$F$5:$F$22</c:f>
              <c:strCache>
                <c:ptCount val="17"/>
                <c:pt idx="0">
                  <c:v>Automobile and Ancillaries</c:v>
                </c:pt>
                <c:pt idx="1">
                  <c:v>Capital Goods</c:v>
                </c:pt>
                <c:pt idx="2">
                  <c:v>Chemicals</c:v>
                </c:pt>
                <c:pt idx="3">
                  <c:v>Construction</c:v>
                </c:pt>
                <c:pt idx="4">
                  <c:v>Consumer Durables</c:v>
                </c:pt>
                <c:pt idx="5">
                  <c:v>Diversified</c:v>
                </c:pt>
                <c:pt idx="6">
                  <c:v>Energy</c:v>
                </c:pt>
                <c:pt idx="7">
                  <c:v>Financials</c:v>
                </c:pt>
                <c:pt idx="8">
                  <c:v>FMCG</c:v>
                </c:pt>
                <c:pt idx="9">
                  <c:v>Healthcare</c:v>
                </c:pt>
                <c:pt idx="10">
                  <c:v>Logistics</c:v>
                </c:pt>
                <c:pt idx="11">
                  <c:v>Media and Communications</c:v>
                </c:pt>
                <c:pt idx="12">
                  <c:v>Metals</c:v>
                </c:pt>
                <c:pt idx="13">
                  <c:v>Retail and Other Services</c:v>
                </c:pt>
                <c:pt idx="14">
                  <c:v>Technology</c:v>
                </c:pt>
                <c:pt idx="15">
                  <c:v>Textile</c:v>
                </c:pt>
                <c:pt idx="16">
                  <c:v>Travel</c:v>
                </c:pt>
              </c:strCache>
            </c:strRef>
          </c:cat>
          <c:val>
            <c:numRef>
              <c:f>Portfolio!$G$5:$G$22</c:f>
              <c:numCache>
                <c:formatCode>General</c:formatCode>
                <c:ptCount val="17"/>
                <c:pt idx="0">
                  <c:v>13.45</c:v>
                </c:pt>
                <c:pt idx="1">
                  <c:v>5.9300000000000006</c:v>
                </c:pt>
                <c:pt idx="2">
                  <c:v>1.74</c:v>
                </c:pt>
                <c:pt idx="3">
                  <c:v>2.7600000000000002</c:v>
                </c:pt>
                <c:pt idx="4">
                  <c:v>7.1099999999999985</c:v>
                </c:pt>
                <c:pt idx="5">
                  <c:v>0.5</c:v>
                </c:pt>
                <c:pt idx="6">
                  <c:v>6.84</c:v>
                </c:pt>
                <c:pt idx="7">
                  <c:v>27.03</c:v>
                </c:pt>
                <c:pt idx="8">
                  <c:v>5.39</c:v>
                </c:pt>
                <c:pt idx="9">
                  <c:v>11.399999999999999</c:v>
                </c:pt>
                <c:pt idx="10">
                  <c:v>0.64</c:v>
                </c:pt>
                <c:pt idx="11">
                  <c:v>1.97</c:v>
                </c:pt>
                <c:pt idx="12">
                  <c:v>1.23</c:v>
                </c:pt>
                <c:pt idx="13">
                  <c:v>4.8100000000000005</c:v>
                </c:pt>
                <c:pt idx="14">
                  <c:v>4.55</c:v>
                </c:pt>
                <c:pt idx="15">
                  <c:v>0.88</c:v>
                </c:pt>
                <c:pt idx="16">
                  <c:v>1.9</c:v>
                </c:pt>
              </c:numCache>
            </c:numRef>
          </c:val>
          <c:extLst>
            <c:ext xmlns:c16="http://schemas.microsoft.com/office/drawing/2014/chart" uri="{C3380CC4-5D6E-409C-BE32-E72D297353CC}">
              <c16:uniqueId val="{00000000-4432-4F64-AF58-C25A5EFC272D}"/>
            </c:ext>
          </c:extLst>
        </c:ser>
        <c:dLbls>
          <c:showLegendKey val="0"/>
          <c:showVal val="0"/>
          <c:showCatName val="0"/>
          <c:showSerName val="0"/>
          <c:showPercent val="0"/>
          <c:showBubbleSize val="0"/>
        </c:dLbls>
        <c:gapWidth val="219"/>
        <c:overlap val="-27"/>
        <c:axId val="2116998799"/>
        <c:axId val="2116999759"/>
      </c:barChart>
      <c:catAx>
        <c:axId val="211699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999759"/>
        <c:crosses val="autoZero"/>
        <c:auto val="1"/>
        <c:lblAlgn val="ctr"/>
        <c:lblOffset val="100"/>
        <c:noMultiLvlLbl val="0"/>
      </c:catAx>
      <c:valAx>
        <c:axId val="211699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99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'sector '!$C$2</c:f>
              <c:strCache>
                <c:ptCount val="1"/>
                <c:pt idx="0">
                  <c:v>Allocation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1A-4CBF-A33A-E593F5D25E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1A-4CBF-A33A-E593F5D25E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1A-4CBF-A33A-E593F5D25E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1A-4CBF-A33A-E593F5D25E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1A-4CBF-A33A-E593F5D25ECA}"/>
              </c:ext>
            </c:extLst>
          </c:dPt>
          <c:dLbls>
            <c:spPr>
              <a:noFill/>
              <a:ln>
                <a:solidFill>
                  <a:schemeClr val="bg1"/>
                </a:solidFill>
                <a:prstDash val="sysDot"/>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'sector '!$B$3:$B$7</c:f>
              <c:strCache>
                <c:ptCount val="5"/>
                <c:pt idx="0">
                  <c:v>Financials</c:v>
                </c:pt>
                <c:pt idx="1">
                  <c:v>Automobile and Ancillaries</c:v>
                </c:pt>
                <c:pt idx="2">
                  <c:v>Healthcare</c:v>
                </c:pt>
                <c:pt idx="3">
                  <c:v>Consumer Durables</c:v>
                </c:pt>
                <c:pt idx="4">
                  <c:v>Energy</c:v>
                </c:pt>
              </c:strCache>
            </c:strRef>
          </c:cat>
          <c:val>
            <c:numRef>
              <c:f>'sector '!$C$3:$C$7</c:f>
              <c:numCache>
                <c:formatCode>0.00%</c:formatCode>
                <c:ptCount val="5"/>
                <c:pt idx="0">
                  <c:v>0.27029999999999998</c:v>
                </c:pt>
                <c:pt idx="1">
                  <c:v>0.13449999999999998</c:v>
                </c:pt>
                <c:pt idx="2">
                  <c:v>0.11399999999999999</c:v>
                </c:pt>
                <c:pt idx="3">
                  <c:v>7.1099999999999983E-2</c:v>
                </c:pt>
                <c:pt idx="4">
                  <c:v>6.8400000000000002E-2</c:v>
                </c:pt>
              </c:numCache>
            </c:numRef>
          </c:val>
          <c:extLst>
            <c:ext xmlns:c16="http://schemas.microsoft.com/office/drawing/2014/chart" uri="{C3380CC4-5D6E-409C-BE32-E72D297353CC}">
              <c16:uniqueId val="{00000000-6CB7-4DB3-84B6-8ECB4F83F63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2456386701662292"/>
          <c:y val="0.25376020705745117"/>
          <c:w val="0.31710279965004373"/>
          <c:h val="0.39062773403324585"/>
        </c:manualLayout>
      </c:layout>
      <c:overlay val="0"/>
      <c:spPr>
        <a:noFill/>
        <a:ln>
          <a:noFill/>
          <a:prstDash val="sysDot"/>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Sheet2!$C$3</c:f>
              <c:strCache>
                <c:ptCount val="1"/>
                <c:pt idx="0">
                  <c:v>Invested Value</c:v>
                </c:pt>
              </c:strCache>
            </c:strRef>
          </c:tx>
          <c:spPr>
            <a:solidFill>
              <a:schemeClr val="accent1"/>
            </a:solidFill>
            <a:ln>
              <a:noFill/>
            </a:ln>
            <a:effectLst/>
          </c:spPr>
          <c:invertIfNegative val="0"/>
          <c:cat>
            <c:numRef>
              <c:f>Sheet2!$B$4:$B$9</c:f>
              <c:numCache>
                <c:formatCode>General</c:formatCode>
                <c:ptCount val="6"/>
                <c:pt idx="0">
                  <c:v>1</c:v>
                </c:pt>
                <c:pt idx="1">
                  <c:v>2</c:v>
                </c:pt>
                <c:pt idx="2">
                  <c:v>3</c:v>
                </c:pt>
                <c:pt idx="3">
                  <c:v>5</c:v>
                </c:pt>
                <c:pt idx="4">
                  <c:v>7</c:v>
                </c:pt>
                <c:pt idx="5">
                  <c:v>10</c:v>
                </c:pt>
              </c:numCache>
            </c:numRef>
          </c:cat>
          <c:val>
            <c:numRef>
              <c:f>Sheet2!$C$4:$C$9</c:f>
              <c:numCache>
                <c:formatCode>#,##0</c:formatCode>
                <c:ptCount val="6"/>
                <c:pt idx="0">
                  <c:v>120000</c:v>
                </c:pt>
                <c:pt idx="1">
                  <c:v>240000</c:v>
                </c:pt>
                <c:pt idx="2">
                  <c:v>360000</c:v>
                </c:pt>
                <c:pt idx="3">
                  <c:v>600000</c:v>
                </c:pt>
                <c:pt idx="4">
                  <c:v>840000</c:v>
                </c:pt>
                <c:pt idx="5">
                  <c:v>1200000</c:v>
                </c:pt>
              </c:numCache>
            </c:numRef>
          </c:val>
          <c:extLst>
            <c:ext xmlns:c16="http://schemas.microsoft.com/office/drawing/2014/chart" uri="{C3380CC4-5D6E-409C-BE32-E72D297353CC}">
              <c16:uniqueId val="{00000000-E805-477E-B572-EFFAD1F42A7D}"/>
            </c:ext>
          </c:extLst>
        </c:ser>
        <c:ser>
          <c:idx val="1"/>
          <c:order val="1"/>
          <c:tx>
            <c:strRef>
              <c:f>Sheet2!$D$3</c:f>
              <c:strCache>
                <c:ptCount val="1"/>
                <c:pt idx="0">
                  <c:v>Market Value </c:v>
                </c:pt>
              </c:strCache>
            </c:strRef>
          </c:tx>
          <c:spPr>
            <a:solidFill>
              <a:schemeClr val="accent2"/>
            </a:solidFill>
            <a:ln>
              <a:noFill/>
            </a:ln>
            <a:effectLst/>
          </c:spPr>
          <c:invertIfNegative val="0"/>
          <c:cat>
            <c:numRef>
              <c:f>Sheet2!$B$4:$B$9</c:f>
              <c:numCache>
                <c:formatCode>General</c:formatCode>
                <c:ptCount val="6"/>
                <c:pt idx="0">
                  <c:v>1</c:v>
                </c:pt>
                <c:pt idx="1">
                  <c:v>2</c:v>
                </c:pt>
                <c:pt idx="2">
                  <c:v>3</c:v>
                </c:pt>
                <c:pt idx="3">
                  <c:v>5</c:v>
                </c:pt>
                <c:pt idx="4">
                  <c:v>7</c:v>
                </c:pt>
                <c:pt idx="5">
                  <c:v>10</c:v>
                </c:pt>
              </c:numCache>
            </c:numRef>
          </c:cat>
          <c:val>
            <c:numRef>
              <c:f>Sheet2!$D$4:$D$9</c:f>
              <c:numCache>
                <c:formatCode>#,##0</c:formatCode>
                <c:ptCount val="6"/>
                <c:pt idx="0">
                  <c:v>125636</c:v>
                </c:pt>
                <c:pt idx="1">
                  <c:v>265538</c:v>
                </c:pt>
                <c:pt idx="2">
                  <c:v>479056</c:v>
                </c:pt>
                <c:pt idx="3">
                  <c:v>1033168</c:v>
                </c:pt>
                <c:pt idx="4">
                  <c:v>2007828</c:v>
                </c:pt>
                <c:pt idx="5">
                  <c:v>3692981</c:v>
                </c:pt>
              </c:numCache>
            </c:numRef>
          </c:val>
          <c:extLst>
            <c:ext xmlns:c16="http://schemas.microsoft.com/office/drawing/2014/chart" uri="{C3380CC4-5D6E-409C-BE32-E72D297353CC}">
              <c16:uniqueId val="{00000001-E805-477E-B572-EFFAD1F42A7D}"/>
            </c:ext>
          </c:extLst>
        </c:ser>
        <c:dLbls>
          <c:showLegendKey val="0"/>
          <c:showVal val="0"/>
          <c:showCatName val="0"/>
          <c:showSerName val="0"/>
          <c:showPercent val="0"/>
          <c:showBubbleSize val="0"/>
        </c:dLbls>
        <c:gapWidth val="219"/>
        <c:overlap val="-27"/>
        <c:axId val="1318057152"/>
        <c:axId val="1318055712"/>
      </c:barChart>
      <c:lineChart>
        <c:grouping val="standard"/>
        <c:varyColors val="0"/>
        <c:ser>
          <c:idx val="2"/>
          <c:order val="2"/>
          <c:tx>
            <c:strRef>
              <c:f>Sheet2!$E$3</c:f>
              <c:strCache>
                <c:ptCount val="1"/>
                <c:pt idx="0">
                  <c:v>XIRR</c:v>
                </c:pt>
              </c:strCache>
            </c:strRef>
          </c:tx>
          <c:spPr>
            <a:ln w="9525" cap="rnd">
              <a:solidFill>
                <a:schemeClr val="bg1">
                  <a:lumMod val="65000"/>
                </a:schemeClr>
              </a:solidFill>
              <a:round/>
            </a:ln>
            <a:effectLst/>
          </c:spPr>
          <c:marker>
            <c:symbol val="circle"/>
            <c:size val="3"/>
            <c:spPr>
              <a:solidFill>
                <a:schemeClr val="accent3"/>
              </a:solidFill>
              <a:ln w="9525">
                <a:solidFill>
                  <a:schemeClr val="accent3"/>
                </a:solidFill>
              </a:ln>
              <a:effectLst/>
            </c:spPr>
          </c:marker>
          <c:cat>
            <c:numRef>
              <c:f>Sheet2!$B$4:$B$9</c:f>
              <c:numCache>
                <c:formatCode>General</c:formatCode>
                <c:ptCount val="6"/>
                <c:pt idx="0">
                  <c:v>1</c:v>
                </c:pt>
                <c:pt idx="1">
                  <c:v>2</c:v>
                </c:pt>
                <c:pt idx="2">
                  <c:v>3</c:v>
                </c:pt>
                <c:pt idx="3">
                  <c:v>5</c:v>
                </c:pt>
                <c:pt idx="4">
                  <c:v>7</c:v>
                </c:pt>
                <c:pt idx="5">
                  <c:v>10</c:v>
                </c:pt>
              </c:numCache>
            </c:numRef>
          </c:cat>
          <c:val>
            <c:numRef>
              <c:f>Sheet2!$E$4:$E$9</c:f>
              <c:numCache>
                <c:formatCode>0.00%</c:formatCode>
                <c:ptCount val="6"/>
                <c:pt idx="0">
                  <c:v>8.3099999999999993E-2</c:v>
                </c:pt>
                <c:pt idx="1">
                  <c:v>0.10059999999999999</c:v>
                </c:pt>
                <c:pt idx="2">
                  <c:v>0.19470000000000001</c:v>
                </c:pt>
                <c:pt idx="3">
                  <c:v>0.219</c:v>
                </c:pt>
                <c:pt idx="4">
                  <c:v>0.24490000000000001</c:v>
                </c:pt>
                <c:pt idx="5">
                  <c:v>0.21299999999999999</c:v>
                </c:pt>
              </c:numCache>
            </c:numRef>
          </c:val>
          <c:smooth val="0"/>
          <c:extLst>
            <c:ext xmlns:c16="http://schemas.microsoft.com/office/drawing/2014/chart" uri="{C3380CC4-5D6E-409C-BE32-E72D297353CC}">
              <c16:uniqueId val="{00000002-E805-477E-B572-EFFAD1F42A7D}"/>
            </c:ext>
          </c:extLst>
        </c:ser>
        <c:dLbls>
          <c:showLegendKey val="0"/>
          <c:showVal val="0"/>
          <c:showCatName val="0"/>
          <c:showSerName val="0"/>
          <c:showPercent val="0"/>
          <c:showBubbleSize val="0"/>
        </c:dLbls>
        <c:marker val="1"/>
        <c:smooth val="0"/>
        <c:axId val="1074779632"/>
        <c:axId val="1074778672"/>
      </c:lineChart>
      <c:catAx>
        <c:axId val="1318057152"/>
        <c:scaling>
          <c:orientation val="minMax"/>
        </c:scaling>
        <c:delete val="0"/>
        <c:axPos val="b"/>
        <c:numFmt formatCode="0&quot;Yrs&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8055712"/>
        <c:crosses val="autoZero"/>
        <c:auto val="1"/>
        <c:lblAlgn val="ctr"/>
        <c:lblOffset val="100"/>
        <c:noMultiLvlLbl val="0"/>
      </c:catAx>
      <c:valAx>
        <c:axId val="13180557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057152"/>
        <c:crosses val="autoZero"/>
        <c:crossBetween val="between"/>
        <c:majorUnit val="700000"/>
      </c:valAx>
      <c:valAx>
        <c:axId val="1074778672"/>
        <c:scaling>
          <c:orientation val="minMax"/>
          <c:min val="5.000000000000001E-2"/>
        </c:scaling>
        <c:delete val="0"/>
        <c:axPos val="r"/>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779632"/>
        <c:crosses val="max"/>
        <c:crossBetween val="between"/>
      </c:valAx>
      <c:catAx>
        <c:axId val="1074779632"/>
        <c:scaling>
          <c:orientation val="minMax"/>
        </c:scaling>
        <c:delete val="1"/>
        <c:axPos val="b"/>
        <c:numFmt formatCode="General" sourceLinked="1"/>
        <c:majorTickMark val="none"/>
        <c:minorTickMark val="none"/>
        <c:tickLblPos val="nextTo"/>
        <c:crossAx val="10747786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Sheet2!$C$12</c:f>
              <c:strCache>
                <c:ptCount val="1"/>
                <c:pt idx="0">
                  <c:v>Invested Value</c:v>
                </c:pt>
              </c:strCache>
            </c:strRef>
          </c:tx>
          <c:spPr>
            <a:solidFill>
              <a:schemeClr val="accent1"/>
            </a:solidFill>
            <a:ln>
              <a:noFill/>
            </a:ln>
            <a:effectLst/>
          </c:spPr>
          <c:invertIfNegative val="0"/>
          <c:cat>
            <c:numRef>
              <c:f>Sheet2!$B$13:$B$18</c:f>
              <c:numCache>
                <c:formatCode>General</c:formatCode>
                <c:ptCount val="6"/>
                <c:pt idx="0">
                  <c:v>1</c:v>
                </c:pt>
                <c:pt idx="1">
                  <c:v>2</c:v>
                </c:pt>
                <c:pt idx="2">
                  <c:v>3</c:v>
                </c:pt>
                <c:pt idx="3">
                  <c:v>5</c:v>
                </c:pt>
                <c:pt idx="4">
                  <c:v>7</c:v>
                </c:pt>
                <c:pt idx="5">
                  <c:v>10</c:v>
                </c:pt>
              </c:numCache>
            </c:numRef>
          </c:cat>
          <c:val>
            <c:numRef>
              <c:f>Sheet2!$C$13:$C$18</c:f>
              <c:numCache>
                <c:formatCode>General</c:formatCode>
                <c:ptCount val="6"/>
                <c:pt idx="0" formatCode="#,##0">
                  <c:v>120000</c:v>
                </c:pt>
                <c:pt idx="1">
                  <c:v>0</c:v>
                </c:pt>
                <c:pt idx="2" formatCode="#,##0">
                  <c:v>397200</c:v>
                </c:pt>
                <c:pt idx="3" formatCode="#,##0">
                  <c:v>732612</c:v>
                </c:pt>
                <c:pt idx="4" formatCode="#,##0">
                  <c:v>1138461</c:v>
                </c:pt>
                <c:pt idx="5" formatCode="#,##0">
                  <c:v>1912921</c:v>
                </c:pt>
              </c:numCache>
            </c:numRef>
          </c:val>
          <c:extLst>
            <c:ext xmlns:c16="http://schemas.microsoft.com/office/drawing/2014/chart" uri="{C3380CC4-5D6E-409C-BE32-E72D297353CC}">
              <c16:uniqueId val="{00000000-C840-4EE0-8565-D2AFD6D8E992}"/>
            </c:ext>
          </c:extLst>
        </c:ser>
        <c:ser>
          <c:idx val="1"/>
          <c:order val="1"/>
          <c:tx>
            <c:strRef>
              <c:f>Sheet2!$D$12</c:f>
              <c:strCache>
                <c:ptCount val="1"/>
                <c:pt idx="0">
                  <c:v>Market Value </c:v>
                </c:pt>
              </c:strCache>
            </c:strRef>
          </c:tx>
          <c:spPr>
            <a:solidFill>
              <a:schemeClr val="accent2"/>
            </a:solidFill>
            <a:ln>
              <a:noFill/>
            </a:ln>
            <a:effectLst/>
          </c:spPr>
          <c:invertIfNegative val="0"/>
          <c:cat>
            <c:numRef>
              <c:f>Sheet2!$B$13:$B$18</c:f>
              <c:numCache>
                <c:formatCode>General</c:formatCode>
                <c:ptCount val="6"/>
                <c:pt idx="0">
                  <c:v>1</c:v>
                </c:pt>
                <c:pt idx="1">
                  <c:v>2</c:v>
                </c:pt>
                <c:pt idx="2">
                  <c:v>3</c:v>
                </c:pt>
                <c:pt idx="3">
                  <c:v>5</c:v>
                </c:pt>
                <c:pt idx="4">
                  <c:v>7</c:v>
                </c:pt>
                <c:pt idx="5">
                  <c:v>10</c:v>
                </c:pt>
              </c:numCache>
            </c:numRef>
          </c:cat>
          <c:val>
            <c:numRef>
              <c:f>Sheet2!$D$13:$D$18</c:f>
              <c:numCache>
                <c:formatCode>#,##0</c:formatCode>
                <c:ptCount val="6"/>
                <c:pt idx="0">
                  <c:v>125636</c:v>
                </c:pt>
                <c:pt idx="1">
                  <c:v>278102</c:v>
                </c:pt>
                <c:pt idx="2">
                  <c:v>519430</c:v>
                </c:pt>
                <c:pt idx="3">
                  <c:v>1207847</c:v>
                </c:pt>
                <c:pt idx="4">
                  <c:v>2484871</c:v>
                </c:pt>
                <c:pt idx="5" formatCode="General">
                  <c:v>5146326</c:v>
                </c:pt>
              </c:numCache>
            </c:numRef>
          </c:val>
          <c:extLst>
            <c:ext xmlns:c16="http://schemas.microsoft.com/office/drawing/2014/chart" uri="{C3380CC4-5D6E-409C-BE32-E72D297353CC}">
              <c16:uniqueId val="{00000001-C840-4EE0-8565-D2AFD6D8E992}"/>
            </c:ext>
          </c:extLst>
        </c:ser>
        <c:dLbls>
          <c:showLegendKey val="0"/>
          <c:showVal val="0"/>
          <c:showCatName val="0"/>
          <c:showSerName val="0"/>
          <c:showPercent val="0"/>
          <c:showBubbleSize val="0"/>
        </c:dLbls>
        <c:gapWidth val="219"/>
        <c:overlap val="-27"/>
        <c:axId val="1048256335"/>
        <c:axId val="1048260655"/>
      </c:barChart>
      <c:lineChart>
        <c:grouping val="standard"/>
        <c:varyColors val="0"/>
        <c:ser>
          <c:idx val="2"/>
          <c:order val="2"/>
          <c:tx>
            <c:strRef>
              <c:f>Sheet2!$E$12</c:f>
              <c:strCache>
                <c:ptCount val="1"/>
                <c:pt idx="0">
                  <c:v>XIRR</c:v>
                </c:pt>
              </c:strCache>
            </c:strRef>
          </c:tx>
          <c:spPr>
            <a:ln w="6350" cap="rnd">
              <a:solidFill>
                <a:schemeClr val="accent3"/>
              </a:solidFill>
              <a:round/>
            </a:ln>
            <a:effectLst/>
          </c:spPr>
          <c:marker>
            <c:symbol val="circle"/>
            <c:size val="3"/>
            <c:spPr>
              <a:solidFill>
                <a:schemeClr val="accent3"/>
              </a:solidFill>
              <a:ln w="6350">
                <a:solidFill>
                  <a:schemeClr val="accent3"/>
                </a:solidFill>
              </a:ln>
              <a:effectLst/>
            </c:spPr>
          </c:marker>
          <c:cat>
            <c:numRef>
              <c:f>Sheet2!$B$13:$B$18</c:f>
              <c:numCache>
                <c:formatCode>General</c:formatCode>
                <c:ptCount val="6"/>
                <c:pt idx="0">
                  <c:v>1</c:v>
                </c:pt>
                <c:pt idx="1">
                  <c:v>2</c:v>
                </c:pt>
                <c:pt idx="2">
                  <c:v>3</c:v>
                </c:pt>
                <c:pt idx="3">
                  <c:v>5</c:v>
                </c:pt>
                <c:pt idx="4">
                  <c:v>7</c:v>
                </c:pt>
                <c:pt idx="5">
                  <c:v>10</c:v>
                </c:pt>
              </c:numCache>
            </c:numRef>
          </c:cat>
          <c:val>
            <c:numRef>
              <c:f>Sheet2!$E$13:$E$18</c:f>
              <c:numCache>
                <c:formatCode>0.00%</c:formatCode>
                <c:ptCount val="6"/>
                <c:pt idx="0">
                  <c:v>8.3099999999999993E-2</c:v>
                </c:pt>
                <c:pt idx="1">
                  <c:v>0.1003</c:v>
                </c:pt>
                <c:pt idx="2">
                  <c:v>0.19009999999999999</c:v>
                </c:pt>
                <c:pt idx="3">
                  <c:v>0.21629999999999999</c:v>
                </c:pt>
                <c:pt idx="4">
                  <c:v>0.24210000000000001</c:v>
                </c:pt>
                <c:pt idx="5">
                  <c:v>0.21579999999999999</c:v>
                </c:pt>
              </c:numCache>
            </c:numRef>
          </c:val>
          <c:smooth val="0"/>
          <c:extLst>
            <c:ext xmlns:c16="http://schemas.microsoft.com/office/drawing/2014/chart" uri="{C3380CC4-5D6E-409C-BE32-E72D297353CC}">
              <c16:uniqueId val="{00000002-C840-4EE0-8565-D2AFD6D8E992}"/>
            </c:ext>
          </c:extLst>
        </c:ser>
        <c:dLbls>
          <c:showLegendKey val="0"/>
          <c:showVal val="0"/>
          <c:showCatName val="0"/>
          <c:showSerName val="0"/>
          <c:showPercent val="0"/>
          <c:showBubbleSize val="0"/>
        </c:dLbls>
        <c:marker val="1"/>
        <c:smooth val="0"/>
        <c:axId val="1048262575"/>
        <c:axId val="1048264015"/>
      </c:lineChart>
      <c:catAx>
        <c:axId val="104825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60655"/>
        <c:crosses val="autoZero"/>
        <c:auto val="1"/>
        <c:lblAlgn val="ctr"/>
        <c:lblOffset val="100"/>
        <c:noMultiLvlLbl val="0"/>
      </c:catAx>
      <c:valAx>
        <c:axId val="10482606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56335"/>
        <c:crosses val="autoZero"/>
        <c:crossBetween val="between"/>
      </c:valAx>
      <c:valAx>
        <c:axId val="104826401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62575"/>
        <c:crosses val="max"/>
        <c:crossBetween val="between"/>
      </c:valAx>
      <c:catAx>
        <c:axId val="1048262575"/>
        <c:scaling>
          <c:orientation val="minMax"/>
        </c:scaling>
        <c:delete val="1"/>
        <c:axPos val="b"/>
        <c:numFmt formatCode="General" sourceLinked="1"/>
        <c:majorTickMark val="none"/>
        <c:minorTickMark val="none"/>
        <c:tickLblPos val="nextTo"/>
        <c:crossAx val="10482640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445851</xdr:colOff>
      <xdr:row>16</xdr:row>
      <xdr:rowOff>62259</xdr:rowOff>
    </xdr:from>
    <xdr:to>
      <xdr:col>13</xdr:col>
      <xdr:colOff>49936</xdr:colOff>
      <xdr:row>33</xdr:row>
      <xdr:rowOff>16213</xdr:rowOff>
    </xdr:to>
    <xdr:graphicFrame macro="">
      <xdr:nvGraphicFramePr>
        <xdr:cNvPr id="3" name="Chart 2">
          <a:extLst>
            <a:ext uri="{FF2B5EF4-FFF2-40B4-BE49-F238E27FC236}">
              <a16:creationId xmlns:a16="http://schemas.microsoft.com/office/drawing/2014/main" id="{19106D40-AC5B-4D4B-B506-18C00D2DC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40532</xdr:colOff>
      <xdr:row>33</xdr:row>
      <xdr:rowOff>178341</xdr:rowOff>
    </xdr:from>
    <xdr:to>
      <xdr:col>6</xdr:col>
      <xdr:colOff>535021</xdr:colOff>
      <xdr:row>47</xdr:row>
      <xdr:rowOff>7133</xdr:rowOff>
    </xdr:to>
    <xdr:graphicFrame macro="">
      <xdr:nvGraphicFramePr>
        <xdr:cNvPr id="8" name="Chart 7">
          <a:extLst>
            <a:ext uri="{FF2B5EF4-FFF2-40B4-BE49-F238E27FC236}">
              <a16:creationId xmlns:a16="http://schemas.microsoft.com/office/drawing/2014/main" id="{1BA92E65-3020-4B01-A0A2-F7428AA04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72957</xdr:colOff>
      <xdr:row>33</xdr:row>
      <xdr:rowOff>137809</xdr:rowOff>
    </xdr:from>
    <xdr:to>
      <xdr:col>13</xdr:col>
      <xdr:colOff>113490</xdr:colOff>
      <xdr:row>47</xdr:row>
      <xdr:rowOff>8106</xdr:rowOff>
    </xdr:to>
    <xdr:graphicFrame macro="">
      <xdr:nvGraphicFramePr>
        <xdr:cNvPr id="11" name="Chart 10">
          <a:extLst>
            <a:ext uri="{FF2B5EF4-FFF2-40B4-BE49-F238E27FC236}">
              <a16:creationId xmlns:a16="http://schemas.microsoft.com/office/drawing/2014/main" id="{18C97EC2-F7C1-4187-9D41-B02342F51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121595</xdr:colOff>
      <xdr:row>81</xdr:row>
      <xdr:rowOff>16213</xdr:rowOff>
    </xdr:from>
    <xdr:to>
      <xdr:col>13</xdr:col>
      <xdr:colOff>0</xdr:colOff>
      <xdr:row>86</xdr:row>
      <xdr:rowOff>0</xdr:rowOff>
    </xdr:to>
    <xdr:sp macro="" textlink="">
      <xdr:nvSpPr>
        <xdr:cNvPr id="2" name="TextBox 1">
          <a:extLst>
            <a:ext uri="{FF2B5EF4-FFF2-40B4-BE49-F238E27FC236}">
              <a16:creationId xmlns:a16="http://schemas.microsoft.com/office/drawing/2014/main" id="{C8142051-DC1C-9720-36D5-E61BDB6A420F}"/>
            </a:ext>
          </a:extLst>
        </xdr:cNvPr>
        <xdr:cNvSpPr txBox="1"/>
      </xdr:nvSpPr>
      <xdr:spPr>
        <a:xfrm>
          <a:off x="3672191" y="14080787"/>
          <a:ext cx="6930958" cy="9565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IN" sz="1100">
              <a:latin typeface="Century Gothic" panose="020B0502020202020204" pitchFamily="34" charset="0"/>
            </a:rPr>
            <a:t>The CAGR return of Lumpsum investment</a:t>
          </a:r>
          <a:r>
            <a:rPr lang="en-IN" sz="1100" baseline="0">
              <a:latin typeface="Century Gothic" panose="020B0502020202020204" pitchFamily="34" charset="0"/>
            </a:rPr>
            <a:t> in the fund is 27.31%, 23.82%, 24.03% and 21.37% for 3 year, 5 year, 7 year and 10 year. The XIRR return on SIP Investment in the fund with same tenur is . The fund has consistently delivered the returns superior then its benchmark Nifty Midcap 150 and BSE sensex Index.</a:t>
          </a:r>
          <a:endParaRPr lang="en-IN" sz="1100">
            <a:latin typeface="Century Gothic" panose="020B0502020202020204" pitchFamily="34" charset="0"/>
          </a:endParaRPr>
        </a:p>
      </xdr:txBody>
    </xdr:sp>
    <xdr:clientData/>
  </xdr:twoCellAnchor>
  <xdr:twoCellAnchor editAs="oneCell">
    <xdr:from>
      <xdr:col>8</xdr:col>
      <xdr:colOff>218873</xdr:colOff>
      <xdr:row>93</xdr:row>
      <xdr:rowOff>18662</xdr:rowOff>
    </xdr:from>
    <xdr:to>
      <xdr:col>12</xdr:col>
      <xdr:colOff>737680</xdr:colOff>
      <xdr:row>105</xdr:row>
      <xdr:rowOff>129703</xdr:rowOff>
    </xdr:to>
    <xdr:pic>
      <xdr:nvPicPr>
        <xdr:cNvPr id="5" name="Picture 4">
          <a:extLst>
            <a:ext uri="{FF2B5EF4-FFF2-40B4-BE49-F238E27FC236}">
              <a16:creationId xmlns:a16="http://schemas.microsoft.com/office/drawing/2014/main" id="{3250BF27-20D4-70E0-E004-5EC0741B64D9}"/>
            </a:ext>
          </a:extLst>
        </xdr:cNvPr>
        <xdr:cNvPicPr>
          <a:picLocks noChangeAspect="1"/>
        </xdr:cNvPicPr>
      </xdr:nvPicPr>
      <xdr:blipFill>
        <a:blip xmlns:r="http://schemas.openxmlformats.org/officeDocument/2006/relationships" r:embed="rId4"/>
        <a:stretch>
          <a:fillRect/>
        </a:stretch>
      </xdr:blipFill>
      <xdr:spPr>
        <a:xfrm>
          <a:off x="7166043" y="16271960"/>
          <a:ext cx="3526275" cy="2259232"/>
        </a:xfrm>
        <a:prstGeom prst="rect">
          <a:avLst/>
        </a:prstGeom>
        <a:ln>
          <a:noFill/>
        </a:ln>
      </xdr:spPr>
    </xdr:pic>
    <xdr:clientData/>
  </xdr:twoCellAnchor>
  <xdr:twoCellAnchor>
    <xdr:from>
      <xdr:col>1</xdr:col>
      <xdr:colOff>81064</xdr:colOff>
      <xdr:row>95</xdr:row>
      <xdr:rowOff>16213</xdr:rowOff>
    </xdr:from>
    <xdr:to>
      <xdr:col>8</xdr:col>
      <xdr:colOff>0</xdr:colOff>
      <xdr:row>103</xdr:row>
      <xdr:rowOff>48638</xdr:rowOff>
    </xdr:to>
    <xdr:sp macro="" textlink="">
      <xdr:nvSpPr>
        <xdr:cNvPr id="6" name="TextBox 5">
          <a:extLst>
            <a:ext uri="{FF2B5EF4-FFF2-40B4-BE49-F238E27FC236}">
              <a16:creationId xmlns:a16="http://schemas.microsoft.com/office/drawing/2014/main" id="{411DA0E3-DCBE-A1D9-A02F-8FDF02BCE60B}"/>
            </a:ext>
          </a:extLst>
        </xdr:cNvPr>
        <xdr:cNvSpPr txBox="1"/>
      </xdr:nvSpPr>
      <xdr:spPr>
        <a:xfrm>
          <a:off x="3631660" y="16634298"/>
          <a:ext cx="3315510" cy="1459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IN" sz="900">
              <a:solidFill>
                <a:schemeClr val="bg1">
                  <a:lumMod val="65000"/>
                </a:schemeClr>
              </a:solidFill>
              <a:latin typeface="Century Gothic" panose="020B0502020202020204" pitchFamily="34" charset="0"/>
            </a:rPr>
            <a:t>The</a:t>
          </a:r>
          <a:r>
            <a:rPr lang="en-IN" sz="900" baseline="0">
              <a:solidFill>
                <a:schemeClr val="bg1">
                  <a:lumMod val="65000"/>
                </a:schemeClr>
              </a:solidFill>
              <a:latin typeface="Century Gothic" panose="020B0502020202020204" pitchFamily="34" charset="0"/>
            </a:rPr>
            <a:t> Fund has deliverd annualised average montly return of 24.35% which is 2.63% more than the benchmark. Further the standard deviation of the fund is 15.42% that is also slighlty lower than Index standard deviation. The fund has generting superior return i.e. 3.48% over the same unit of risk as of benchmark hence the fund has higher sharpr ratio and Sortino ratio. The fund has generted risk adjusted alpha of close to 3.48% over benchmark. The fund has been categorised as average risk and high return than benchmark by Morningstar.</a:t>
          </a:r>
        </a:p>
        <a:p>
          <a:pPr algn="just"/>
          <a:endParaRPr lang="en-IN" sz="900">
            <a:solidFill>
              <a:schemeClr val="bg1">
                <a:lumMod val="65000"/>
              </a:schemeClr>
            </a:solidFill>
            <a:latin typeface="Century Gothic" panose="020B0502020202020204" pitchFamily="34" charset="0"/>
          </a:endParaRPr>
        </a:p>
      </xdr:txBody>
    </xdr:sp>
    <xdr:clientData/>
  </xdr:twoCellAnchor>
  <xdr:twoCellAnchor>
    <xdr:from>
      <xdr:col>2</xdr:col>
      <xdr:colOff>0</xdr:colOff>
      <xdr:row>48</xdr:row>
      <xdr:rowOff>64850</xdr:rowOff>
    </xdr:from>
    <xdr:to>
      <xdr:col>13</xdr:col>
      <xdr:colOff>16213</xdr:colOff>
      <xdr:row>54</xdr:row>
      <xdr:rowOff>178340</xdr:rowOff>
    </xdr:to>
    <xdr:sp macro="" textlink="">
      <xdr:nvSpPr>
        <xdr:cNvPr id="7" name="TextBox 6">
          <a:extLst>
            <a:ext uri="{FF2B5EF4-FFF2-40B4-BE49-F238E27FC236}">
              <a16:creationId xmlns:a16="http://schemas.microsoft.com/office/drawing/2014/main" id="{ECF0B079-FBFC-C9DE-3301-06BF53FD8AE9}"/>
            </a:ext>
          </a:extLst>
        </xdr:cNvPr>
        <xdr:cNvSpPr txBox="1"/>
      </xdr:nvSpPr>
      <xdr:spPr>
        <a:xfrm>
          <a:off x="3680298" y="8163127"/>
          <a:ext cx="7279532" cy="1183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IN" sz="900">
              <a:solidFill>
                <a:schemeClr val="tx1"/>
              </a:solidFill>
              <a:latin typeface="Century Gothic" panose="020B0502020202020204" pitchFamily="34" charset="0"/>
            </a:rPr>
            <a:t>The Fund</a:t>
          </a:r>
          <a:r>
            <a:rPr lang="en-IN" sz="900" baseline="0">
              <a:solidFill>
                <a:schemeClr val="tx1"/>
              </a:solidFill>
              <a:latin typeface="Century Gothic" panose="020B0502020202020204" pitchFamily="34" charset="0"/>
            </a:rPr>
            <a:t> has performed expeptionally well and beat its benchmark Index and category over the time. ALthough the risk is higher but the return are superior than the benchmark index. Rupesh Patel took charge of the fund from 01 Jan 2023. he has decade of experience in managing the funds as he was managing the fund at Tata Mutual Fund (2009-2021).The fund house has taken several initaiatives to strengthen and standardized its investment and research processes. This include enhancement to the security selection framework and the implementation of more structured system to evaluate the analyst performance and also focusing on the adding the new talents.</a:t>
          </a:r>
        </a:p>
        <a:p>
          <a:pPr algn="just"/>
          <a:endParaRPr lang="en-IN" sz="900">
            <a:solidFill>
              <a:schemeClr val="tx1"/>
            </a:solidFill>
            <a:latin typeface="Century Gothic" panose="020B0502020202020204" pitchFamily="34" charset="0"/>
          </a:endParaRPr>
        </a:p>
      </xdr:txBody>
    </xdr:sp>
    <xdr:clientData/>
  </xdr:twoCellAnchor>
  <xdr:twoCellAnchor>
    <xdr:from>
      <xdr:col>1</xdr:col>
      <xdr:colOff>72957</xdr:colOff>
      <xdr:row>149</xdr:row>
      <xdr:rowOff>162128</xdr:rowOff>
    </xdr:from>
    <xdr:to>
      <xdr:col>13</xdr:col>
      <xdr:colOff>64851</xdr:colOff>
      <xdr:row>153</xdr:row>
      <xdr:rowOff>16213</xdr:rowOff>
    </xdr:to>
    <xdr:sp macro="" textlink="">
      <xdr:nvSpPr>
        <xdr:cNvPr id="9" name="TextBox 8">
          <a:extLst>
            <a:ext uri="{FF2B5EF4-FFF2-40B4-BE49-F238E27FC236}">
              <a16:creationId xmlns:a16="http://schemas.microsoft.com/office/drawing/2014/main" id="{52F1E176-4D96-CDC6-AAE4-600FD4C5E17C}"/>
            </a:ext>
          </a:extLst>
        </xdr:cNvPr>
        <xdr:cNvSpPr txBox="1"/>
      </xdr:nvSpPr>
      <xdr:spPr>
        <a:xfrm>
          <a:off x="3623553" y="26564617"/>
          <a:ext cx="7384915" cy="567447"/>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IN" sz="900">
              <a:latin typeface="Century Gothic" panose="020B0502020202020204" pitchFamily="34" charset="0"/>
            </a:rPr>
            <a:t>Disclaimer:</a:t>
          </a:r>
          <a:r>
            <a:rPr lang="en-IN" sz="900" baseline="0">
              <a:latin typeface="Century Gothic" panose="020B0502020202020204" pitchFamily="34" charset="0"/>
            </a:rPr>
            <a:t> This is an academic project and not an recommendation advise. The Author is not an SEBI registered analyst to guide you in the investment decision making. Please do your own due diligence before making any financial decision.</a:t>
          </a:r>
          <a:endParaRPr lang="en-IN" sz="900">
            <a:latin typeface="Century Gothic" panose="020B0502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548640</xdr:colOff>
      <xdr:row>23</xdr:row>
      <xdr:rowOff>163830</xdr:rowOff>
    </xdr:from>
    <xdr:to>
      <xdr:col>7</xdr:col>
      <xdr:colOff>563880</xdr:colOff>
      <xdr:row>38</xdr:row>
      <xdr:rowOff>129540</xdr:rowOff>
    </xdr:to>
    <xdr:graphicFrame macro="">
      <xdr:nvGraphicFramePr>
        <xdr:cNvPr id="3" name="Chart 2">
          <a:extLst>
            <a:ext uri="{FF2B5EF4-FFF2-40B4-BE49-F238E27FC236}">
              <a16:creationId xmlns:a16="http://schemas.microsoft.com/office/drawing/2014/main" id="{90EB2F9B-DDE2-7EA6-F301-179F020A9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320040</xdr:colOff>
      <xdr:row>8</xdr:row>
      <xdr:rowOff>133350</xdr:rowOff>
    </xdr:from>
    <xdr:to>
      <xdr:col>15</xdr:col>
      <xdr:colOff>15240</xdr:colOff>
      <xdr:row>23</xdr:row>
      <xdr:rowOff>133350</xdr:rowOff>
    </xdr:to>
    <xdr:graphicFrame macro="">
      <xdr:nvGraphicFramePr>
        <xdr:cNvPr id="2" name="Chart 1">
          <a:extLst>
            <a:ext uri="{FF2B5EF4-FFF2-40B4-BE49-F238E27FC236}">
              <a16:creationId xmlns:a16="http://schemas.microsoft.com/office/drawing/2014/main" id="{E854D812-8126-2456-24F1-33E04201C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548640</xdr:colOff>
      <xdr:row>0</xdr:row>
      <xdr:rowOff>76200</xdr:rowOff>
    </xdr:from>
    <xdr:to>
      <xdr:col>14</xdr:col>
      <xdr:colOff>45720</xdr:colOff>
      <xdr:row>12</xdr:row>
      <xdr:rowOff>0</xdr:rowOff>
    </xdr:to>
    <xdr:graphicFrame macro="">
      <xdr:nvGraphicFramePr>
        <xdr:cNvPr id="2" name="Chart 1">
          <a:extLst>
            <a:ext uri="{FF2B5EF4-FFF2-40B4-BE49-F238E27FC236}">
              <a16:creationId xmlns:a16="http://schemas.microsoft.com/office/drawing/2014/main" id="{B85EB315-E3CB-D7C6-7030-E0DFC986A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xdr:colOff>
      <xdr:row>12</xdr:row>
      <xdr:rowOff>140970</xdr:rowOff>
    </xdr:from>
    <xdr:to>
      <xdr:col>12</xdr:col>
      <xdr:colOff>495300</xdr:colOff>
      <xdr:row>27</xdr:row>
      <xdr:rowOff>140970</xdr:rowOff>
    </xdr:to>
    <xdr:graphicFrame macro="">
      <xdr:nvGraphicFramePr>
        <xdr:cNvPr id="4" name="Chart 3">
          <a:extLst>
            <a:ext uri="{FF2B5EF4-FFF2-40B4-BE49-F238E27FC236}">
              <a16:creationId xmlns:a16="http://schemas.microsoft.com/office/drawing/2014/main" id="{2DBB8982-8D5F-00E9-DB35-FBA5430F9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qar Ahmad" refreshedDate="46008.938138310186" createdVersion="8" refreshedVersion="8" minRefreshableVersion="3" recordCount="97" xr:uid="{C531212F-EE0C-4197-B73D-83FD4234B4BA}">
  <cacheSource type="worksheet">
    <worksheetSource ref="B1:D98" sheet="Portfolio"/>
  </cacheSource>
  <cacheFields count="3">
    <cacheField name="Company" numFmtId="0">
      <sharedItems/>
    </cacheField>
    <cacheField name="Sector" numFmtId="0">
      <sharedItems count="17">
        <s v="Financials"/>
        <s v="Healthcare"/>
        <s v="Technology"/>
        <s v="Consumer Durables"/>
        <s v="Automobile and Ancillaries"/>
        <s v="Media and Communications"/>
        <s v="FMCG"/>
        <s v="Construction"/>
        <s v="Retail and Other Services"/>
        <s v="Energy"/>
        <s v="Capital Goods"/>
        <s v="Metals"/>
        <s v="Travel"/>
        <s v="Textile"/>
        <s v="Chemicals"/>
        <s v="Logistics"/>
        <s v="Diversified"/>
      </sharedItems>
    </cacheField>
    <cacheField name="Assets %" numFmtId="0">
      <sharedItems containsSemiMixedTypes="0" containsString="0" containsNumber="1" minValue="0" maxValue="3.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s v="BSE Ltd."/>
    <x v="0"/>
    <n v="3.52"/>
  </r>
  <r>
    <s v="Fortis Healthcare Ltd."/>
    <x v="1"/>
    <n v="2.96"/>
  </r>
  <r>
    <s v="The Federal Bank Ltd."/>
    <x v="0"/>
    <n v="2.52"/>
  </r>
  <r>
    <s v="AU Small Finance Bank Ltd."/>
    <x v="0"/>
    <n v="2.5"/>
  </r>
  <r>
    <s v="Persistent Systems Ltd."/>
    <x v="2"/>
    <n v="2.48"/>
  </r>
  <r>
    <s v="Cholamandalam Financial Holdings Ltd."/>
    <x v="0"/>
    <n v="2.34"/>
  </r>
  <r>
    <s v="Voltas Ltd."/>
    <x v="3"/>
    <n v="2.2599999999999998"/>
  </r>
  <r>
    <s v="Max Financial Services Ltd."/>
    <x v="0"/>
    <n v="2.06"/>
  </r>
  <r>
    <s v="Ashok Leyland Ltd."/>
    <x v="4"/>
    <n v="1.95"/>
  </r>
  <r>
    <s v="Bharat Forge Ltd."/>
    <x v="4"/>
    <n v="1.86"/>
  </r>
  <r>
    <s v="Max Healthcare Institute Ltd."/>
    <x v="1"/>
    <n v="1.74"/>
  </r>
  <r>
    <s v="One97 Communications Ltd."/>
    <x v="0"/>
    <n v="1.73"/>
  </r>
  <r>
    <s v="Indus Towers Ltd."/>
    <x v="5"/>
    <n v="1.72"/>
  </r>
  <r>
    <s v="Power Finance Corporation Ltd."/>
    <x v="0"/>
    <n v="1.66"/>
  </r>
  <r>
    <s v="Indian Bank"/>
    <x v="0"/>
    <n v="1.66"/>
  </r>
  <r>
    <s v="Varun Beverages Ltd."/>
    <x v="6"/>
    <n v="1.58"/>
  </r>
  <r>
    <s v="Alkem Laboratories Ltd."/>
    <x v="1"/>
    <n v="1.57"/>
  </r>
  <r>
    <s v="Dixon Technologies (India) Ltd."/>
    <x v="3"/>
    <n v="1.56"/>
  </r>
  <r>
    <s v="Tube Investments of India Ltd."/>
    <x v="4"/>
    <n v="1.52"/>
  </r>
  <r>
    <s v="Prestige Estates Projects Ltd."/>
    <x v="7"/>
    <n v="1.49"/>
  </r>
  <r>
    <s v="Samvardhana Motherson International Ltd."/>
    <x v="4"/>
    <n v="1.41"/>
  </r>
  <r>
    <s v="Cummins India Ltd."/>
    <x v="4"/>
    <n v="1.39"/>
  </r>
  <r>
    <s v="Eternal Ltd."/>
    <x v="8"/>
    <n v="1.36"/>
  </r>
  <r>
    <s v="NTPC Green Energy Ltd."/>
    <x v="9"/>
    <n v="1.35"/>
  </r>
  <r>
    <s v="Info Edge (India) Ltd."/>
    <x v="2"/>
    <n v="1.33"/>
  </r>
  <r>
    <s v="GE Vernova T&amp;D India Ltd."/>
    <x v="10"/>
    <n v="1.31"/>
  </r>
  <r>
    <s v="HDB Financial Services Ltd."/>
    <x v="0"/>
    <n v="1.29"/>
  </r>
  <r>
    <s v="Lupin Ltd."/>
    <x v="1"/>
    <n v="1.26"/>
  </r>
  <r>
    <s v="Bharat Heavy Electricals Ltd."/>
    <x v="10"/>
    <n v="1.26"/>
  </r>
  <r>
    <s v="APL Apollo Tubes Ltd."/>
    <x v="11"/>
    <n v="1.23"/>
  </r>
  <r>
    <s v="ICICI Lombard General Insurance Company Ltd."/>
    <x v="0"/>
    <n v="1.22"/>
  </r>
  <r>
    <s v="Gland Pharma Ltd."/>
    <x v="1"/>
    <n v="1.17"/>
  </r>
  <r>
    <s v="Vishal Mega Mart Ltd."/>
    <x v="8"/>
    <n v="1.1299999999999999"/>
  </r>
  <r>
    <s v="Torrent Power Ltd."/>
    <x v="9"/>
    <n v="1.1000000000000001"/>
  </r>
  <r>
    <s v="NTPC Ltd."/>
    <x v="9"/>
    <n v="1.0900000000000001"/>
  </r>
  <r>
    <s v="FSN E-Commerce Ventures Ltd."/>
    <x v="8"/>
    <n v="1.07"/>
  </r>
  <r>
    <s v="Ipca Laboratories Ltd."/>
    <x v="1"/>
    <n v="1.07"/>
  </r>
  <r>
    <s v="The Indian Hotels Company Ltd."/>
    <x v="12"/>
    <n v="1.06"/>
  </r>
  <r>
    <s v="ZF Commercial Vehicle Control Systems India Ltd."/>
    <x v="4"/>
    <n v="1.01"/>
  </r>
  <r>
    <s v="Supreme Industries Ltd."/>
    <x v="3"/>
    <n v="0.99"/>
  </r>
  <r>
    <s v="Bharat Electronics Ltd."/>
    <x v="10"/>
    <n v="0.98"/>
  </r>
  <r>
    <s v="Jubilant FoodWorks Ltd."/>
    <x v="6"/>
    <n v="0.96"/>
  </r>
  <r>
    <s v="NLC India Ltd."/>
    <x v="9"/>
    <n v="0.93"/>
  </r>
  <r>
    <s v="Hindustan Petroleum Corporation Ltd."/>
    <x v="9"/>
    <n v="0.93"/>
  </r>
  <r>
    <s v="Mahindra &amp; Mahindra Financial Services Ltd."/>
    <x v="0"/>
    <n v="0.93"/>
  </r>
  <r>
    <s v="HDFC Asset Management Company Ltd."/>
    <x v="0"/>
    <n v="0.92"/>
  </r>
  <r>
    <s v="Angel One Ltd."/>
    <x v="0"/>
    <n v="0.89"/>
  </r>
  <r>
    <s v="Page Industries Ltd."/>
    <x v="13"/>
    <n v="0.88"/>
  </r>
  <r>
    <s v="Dalmia Bharat Ltd."/>
    <x v="7"/>
    <n v="0.86"/>
  </r>
  <r>
    <s v="REC Ltd."/>
    <x v="0"/>
    <n v="0.86"/>
  </r>
  <r>
    <s v="Hyundai Motor India Ltd."/>
    <x v="4"/>
    <n v="0.85"/>
  </r>
  <r>
    <s v="Interglobe Aviation Ltd."/>
    <x v="12"/>
    <n v="0.84"/>
  </r>
  <r>
    <s v="Schaeffler India Ltd."/>
    <x v="4"/>
    <n v="0.84"/>
  </r>
  <r>
    <s v="Sundaram Finance Ltd."/>
    <x v="0"/>
    <n v="0.83"/>
  </r>
  <r>
    <s v="United Breweries Ltd."/>
    <x v="6"/>
    <n v="0.82"/>
  </r>
  <r>
    <s v="Endurance Technologies Ltd."/>
    <x v="4"/>
    <n v="0.82"/>
  </r>
  <r>
    <s v="CG Power and Industrial Solutions Ltd."/>
    <x v="10"/>
    <n v="0.82"/>
  </r>
  <r>
    <s v="Union Bank Of India"/>
    <x v="0"/>
    <n v="0.8"/>
  </r>
  <r>
    <s v="Mphasis Ltd."/>
    <x v="2"/>
    <n v="0.74"/>
  </r>
  <r>
    <s v="Blue Star Ltd."/>
    <x v="3"/>
    <n v="0.71"/>
  </r>
  <r>
    <s v="Trent Ltd."/>
    <x v="8"/>
    <n v="0.71"/>
  </r>
  <r>
    <s v="Gujarat Gas Ltd."/>
    <x v="9"/>
    <n v="0.71"/>
  </r>
  <r>
    <s v="Astral Ltd."/>
    <x v="3"/>
    <n v="0.69"/>
  </r>
  <r>
    <s v="Coromandel International Ltd."/>
    <x v="14"/>
    <n v="0.69"/>
  </r>
  <r>
    <s v="Mankind Pharma Ltd."/>
    <x v="1"/>
    <n v="0.68"/>
  </r>
  <r>
    <s v="Container Corporation Of India Ltd."/>
    <x v="15"/>
    <n v="0.64"/>
  </r>
  <r>
    <s v="Balkrishna Industries Ltd."/>
    <x v="4"/>
    <n v="0.6"/>
  </r>
  <r>
    <s v="Hindustan Aeronautics Ltd."/>
    <x v="10"/>
    <n v="0.59"/>
  </r>
  <r>
    <s v="Colgate-Palmolive (India) Ltd."/>
    <x v="6"/>
    <n v="0.56999999999999995"/>
  </r>
  <r>
    <s v="Devyani International Ltd."/>
    <x v="6"/>
    <n v="0.54"/>
  </r>
  <r>
    <s v="LG Electronics India Ltd."/>
    <x v="3"/>
    <n v="0.52"/>
  </r>
  <r>
    <s v="Bank Of India"/>
    <x v="0"/>
    <n v="0.51"/>
  </r>
  <r>
    <s v="3M India Ltd."/>
    <x v="16"/>
    <n v="0.5"/>
  </r>
  <r>
    <s v="Gujarat Fluorochemicals Ltd."/>
    <x v="14"/>
    <n v="0.49"/>
  </r>
  <r>
    <s v="Timken India Ltd."/>
    <x v="4"/>
    <n v="0.48"/>
  </r>
  <r>
    <s v="Radico Khaitan Ltd."/>
    <x v="6"/>
    <n v="0.47"/>
  </r>
  <r>
    <s v="Bata India Ltd."/>
    <x v="6"/>
    <n v="0.45"/>
  </r>
  <r>
    <s v="Carborundum Universal Ltd."/>
    <x v="10"/>
    <n v="0.44"/>
  </r>
  <r>
    <s v="Prudent Corporate Advisory Services Ltd."/>
    <x v="0"/>
    <n v="0.44"/>
  </r>
  <r>
    <s v="JK Cement Ltd."/>
    <x v="7"/>
    <n v="0.41"/>
  </r>
  <r>
    <s v="NMDC Ltd."/>
    <x v="9"/>
    <n v="0.4"/>
  </r>
  <r>
    <s v="Crompton Greaves Consumer Electricals Ltd."/>
    <x v="3"/>
    <n v="0.38"/>
  </r>
  <r>
    <s v="Sanofi Consumer Healthcare India Ltd."/>
    <x v="1"/>
    <n v="0.37"/>
  </r>
  <r>
    <s v="Sundram Fasteners Ltd."/>
    <x v="4"/>
    <n v="0.36"/>
  </r>
  <r>
    <s v="Sona BLW Precision Forgings Ltd."/>
    <x v="4"/>
    <n v="0.36"/>
  </r>
  <r>
    <s v="IndusInd Bank Ltd."/>
    <x v="0"/>
    <n v="0.35"/>
  </r>
  <r>
    <s v="Bayer CropScience Ltd."/>
    <x v="14"/>
    <n v="0.34"/>
  </r>
  <r>
    <s v="Glaxosmithkline Pharmaceuticals Ltd."/>
    <x v="1"/>
    <n v="0.34"/>
  </r>
  <r>
    <s v="MTAR Technologies Ltd."/>
    <x v="10"/>
    <n v="0.34"/>
  </r>
  <r>
    <s v="Indraprastha Gas Ltd."/>
    <x v="9"/>
    <n v="0.33"/>
  </r>
  <r>
    <s v="Swiggy Ltd."/>
    <x v="8"/>
    <n v="0.32"/>
  </r>
  <r>
    <s v="Tata Communications Ltd."/>
    <x v="5"/>
    <n v="0.25"/>
  </r>
  <r>
    <s v="Sanofi India Ltd."/>
    <x v="1"/>
    <n v="0.24"/>
  </r>
  <r>
    <s v="Deepak Nitrite Ltd."/>
    <x v="14"/>
    <n v="0.22"/>
  </r>
  <r>
    <s v="Restaurant Brands Asia Ltd."/>
    <x v="8"/>
    <n v="0.22"/>
  </r>
  <r>
    <s v="Apar Industries Ltd."/>
    <x v="10"/>
    <n v="0.19"/>
  </r>
  <r>
    <s v="Globsyn Technologies Limited"/>
    <x v="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7A134C-8069-44B0-B16D-CE5AB303C1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4:G22" firstHeaderRow="1" firstDataRow="1" firstDataCol="1"/>
  <pivotFields count="3">
    <pivotField showAll="0"/>
    <pivotField axis="axisRow" showAll="0">
      <items count="18">
        <item x="4"/>
        <item x="10"/>
        <item x="14"/>
        <item x="7"/>
        <item x="3"/>
        <item x="16"/>
        <item x="9"/>
        <item x="0"/>
        <item x="6"/>
        <item x="1"/>
        <item x="15"/>
        <item x="5"/>
        <item x="11"/>
        <item x="8"/>
        <item x="2"/>
        <item x="13"/>
        <item x="12"/>
        <item t="default"/>
      </items>
    </pivotField>
    <pivotField dataField="1"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Assets %"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59B44-46A4-4885-AA0C-BC17FD9FEC8A}">
  <sheetPr>
    <pageSetUpPr fitToPage="1"/>
  </sheetPr>
  <dimension ref="A1:N150"/>
  <sheetViews>
    <sheetView showGridLines="0" tabSelected="1" view="pageBreakPreview" zoomScale="60" zoomScaleNormal="94" workbookViewId="0">
      <selection activeCell="W134" sqref="W134"/>
    </sheetView>
  </sheetViews>
  <sheetFormatPr defaultRowHeight="13.8" x14ac:dyDescent="0.25"/>
  <cols>
    <col min="1" max="1" width="51.77734375" style="34" customWidth="1"/>
    <col min="2" max="2" width="1.88671875" style="17" customWidth="1"/>
    <col min="3" max="3" width="12.21875" style="17" customWidth="1"/>
    <col min="4" max="6" width="8.88671875" style="17"/>
    <col min="7" max="7" width="10.88671875" style="17" customWidth="1"/>
    <col min="8" max="8" width="1.33203125" style="17" customWidth="1"/>
    <col min="9" max="9" width="13.6640625" style="17" bestFit="1" customWidth="1"/>
    <col min="10" max="12" width="10" style="17" bestFit="1" customWidth="1"/>
    <col min="13" max="13" width="11.109375" style="17" bestFit="1" customWidth="1"/>
    <col min="14" max="14" width="1.88671875" style="17" customWidth="1"/>
    <col min="15" max="16384" width="8.88671875" style="34"/>
  </cols>
  <sheetData>
    <row r="1" spans="2:14" ht="14.4" x14ac:dyDescent="0.3">
      <c r="C1" s="1" t="s">
        <v>0</v>
      </c>
    </row>
    <row r="2" spans="2:14" ht="4.8" customHeight="1" x14ac:dyDescent="0.25"/>
    <row r="3" spans="2:14" ht="20.399999999999999" x14ac:dyDescent="0.35">
      <c r="B3" s="86" t="s">
        <v>156</v>
      </c>
      <c r="C3" s="86"/>
      <c r="D3" s="86"/>
      <c r="E3" s="86"/>
      <c r="F3" s="86"/>
      <c r="G3" s="86"/>
      <c r="H3" s="86"/>
      <c r="I3" s="86"/>
      <c r="J3" s="86"/>
      <c r="K3" s="86"/>
      <c r="L3" s="86"/>
      <c r="M3" s="86"/>
      <c r="N3" s="86"/>
    </row>
    <row r="4" spans="2:14" ht="4.8" customHeight="1" x14ac:dyDescent="0.25"/>
    <row r="5" spans="2:14" ht="16.8" customHeight="1" thickBot="1" x14ac:dyDescent="0.3">
      <c r="B5" s="87" t="s">
        <v>1</v>
      </c>
      <c r="C5" s="87"/>
      <c r="D5" s="87"/>
      <c r="E5" s="87"/>
      <c r="F5" s="87"/>
      <c r="G5" s="87"/>
      <c r="H5" s="87"/>
      <c r="I5" s="87"/>
      <c r="J5" s="87"/>
      <c r="K5" s="87"/>
      <c r="L5" s="87"/>
      <c r="M5" s="87"/>
      <c r="N5" s="87"/>
    </row>
    <row r="6" spans="2:14" ht="7.8" customHeight="1" thickBot="1" x14ac:dyDescent="0.3"/>
    <row r="7" spans="2:14" ht="14.4" thickBot="1" x14ac:dyDescent="0.3">
      <c r="C7" s="88" t="s">
        <v>2</v>
      </c>
      <c r="D7" s="88"/>
      <c r="E7" s="88"/>
      <c r="F7" s="88"/>
      <c r="G7" s="88"/>
      <c r="I7" s="89" t="s">
        <v>21</v>
      </c>
      <c r="J7" s="90"/>
      <c r="K7" s="90"/>
      <c r="L7" s="90"/>
      <c r="M7" s="90"/>
    </row>
    <row r="8" spans="2:14" ht="6.6" customHeight="1" x14ac:dyDescent="0.25"/>
    <row r="9" spans="2:14" ht="14.4" x14ac:dyDescent="0.3">
      <c r="C9" s="18" t="s">
        <v>3</v>
      </c>
      <c r="D9" s="19"/>
      <c r="E9" s="19"/>
      <c r="F9" s="19"/>
      <c r="G9" s="20">
        <v>34967</v>
      </c>
      <c r="I9" s="18" t="s">
        <v>22</v>
      </c>
      <c r="J9" s="18"/>
      <c r="K9" s="18"/>
      <c r="L9" s="18"/>
      <c r="M9" s="21">
        <v>3.5200000000000002E-2</v>
      </c>
    </row>
    <row r="10" spans="2:14" ht="14.4" x14ac:dyDescent="0.3">
      <c r="C10" s="18" t="s">
        <v>4</v>
      </c>
      <c r="D10" s="19"/>
      <c r="E10" s="19"/>
      <c r="F10" s="19"/>
      <c r="G10" s="22">
        <v>42041</v>
      </c>
      <c r="I10" s="23" t="s">
        <v>24</v>
      </c>
      <c r="J10" s="23"/>
      <c r="K10" s="23"/>
      <c r="L10" s="23"/>
      <c r="M10" s="24">
        <v>2.9600000000000001E-2</v>
      </c>
    </row>
    <row r="11" spans="2:14" ht="14.4" x14ac:dyDescent="0.3">
      <c r="C11" s="18" t="s">
        <v>5</v>
      </c>
      <c r="D11" s="19"/>
      <c r="E11" s="19"/>
      <c r="F11" s="19"/>
      <c r="G11" s="25" t="s">
        <v>10</v>
      </c>
      <c r="I11" s="18" t="s">
        <v>26</v>
      </c>
      <c r="J11" s="18"/>
      <c r="K11" s="18"/>
      <c r="L11" s="18"/>
      <c r="M11" s="21">
        <v>2.52E-2</v>
      </c>
    </row>
    <row r="12" spans="2:14" ht="14.4" x14ac:dyDescent="0.3">
      <c r="C12" s="18" t="s">
        <v>6</v>
      </c>
      <c r="D12" s="19"/>
      <c r="E12" s="19"/>
      <c r="F12" s="19"/>
      <c r="G12" s="25" t="s">
        <v>11</v>
      </c>
      <c r="I12" s="23" t="s">
        <v>27</v>
      </c>
      <c r="J12" s="23"/>
      <c r="K12" s="23"/>
      <c r="L12" s="23"/>
      <c r="M12" s="24">
        <v>2.5000000000000001E-2</v>
      </c>
    </row>
    <row r="13" spans="2:14" ht="14.4" x14ac:dyDescent="0.3">
      <c r="C13" s="18" t="s">
        <v>7</v>
      </c>
      <c r="D13" s="19"/>
      <c r="E13" s="19"/>
      <c r="F13" s="19"/>
      <c r="G13" s="25" t="s">
        <v>12</v>
      </c>
      <c r="I13" s="18" t="s">
        <v>28</v>
      </c>
      <c r="J13" s="18"/>
      <c r="K13" s="18"/>
      <c r="L13" s="18"/>
      <c r="M13" s="21">
        <v>2.4799999999999999E-2</v>
      </c>
    </row>
    <row r="14" spans="2:14" ht="14.4" x14ac:dyDescent="0.3">
      <c r="C14" s="18" t="s">
        <v>8</v>
      </c>
      <c r="D14" s="19"/>
      <c r="E14" s="19"/>
      <c r="F14" s="19"/>
      <c r="G14" s="25" t="s">
        <v>13</v>
      </c>
      <c r="I14" s="23" t="s">
        <v>30</v>
      </c>
      <c r="J14" s="23"/>
      <c r="K14" s="23"/>
      <c r="L14" s="23"/>
      <c r="M14" s="24">
        <v>2.3399999999999997E-2</v>
      </c>
    </row>
    <row r="15" spans="2:14" ht="14.4" x14ac:dyDescent="0.3">
      <c r="C15" s="18" t="s">
        <v>9</v>
      </c>
      <c r="D15" s="19"/>
      <c r="E15" s="19"/>
      <c r="F15" s="19"/>
      <c r="G15" s="26">
        <v>7.3000000000000001E-3</v>
      </c>
      <c r="I15" s="18" t="s">
        <v>31</v>
      </c>
      <c r="J15" s="18"/>
      <c r="K15" s="18"/>
      <c r="L15" s="18"/>
      <c r="M15" s="21">
        <v>2.2599999999999999E-2</v>
      </c>
    </row>
    <row r="16" spans="2:14" ht="14.4" x14ac:dyDescent="0.3">
      <c r="C16" s="18" t="s">
        <v>16</v>
      </c>
      <c r="D16" s="19"/>
      <c r="E16" s="19"/>
      <c r="F16" s="19"/>
      <c r="G16" s="26" t="s">
        <v>18</v>
      </c>
      <c r="I16" s="23" t="s">
        <v>33</v>
      </c>
      <c r="J16" s="23"/>
      <c r="K16" s="23"/>
      <c r="L16" s="23"/>
      <c r="M16" s="24">
        <v>2.06E-2</v>
      </c>
    </row>
    <row r="17" spans="3:13" ht="14.4" x14ac:dyDescent="0.3">
      <c r="C17" s="18" t="s">
        <v>17</v>
      </c>
      <c r="D17" s="19"/>
      <c r="E17" s="19"/>
      <c r="F17" s="19"/>
      <c r="G17" s="27">
        <v>0.01</v>
      </c>
      <c r="I17" s="18" t="s">
        <v>34</v>
      </c>
      <c r="J17" s="18"/>
      <c r="K17" s="18"/>
      <c r="L17" s="18"/>
      <c r="M17" s="21">
        <v>1.95E-2</v>
      </c>
    </row>
    <row r="18" spans="3:13" ht="14.4" x14ac:dyDescent="0.3">
      <c r="C18" s="1" t="s">
        <v>19</v>
      </c>
      <c r="D18" s="28"/>
      <c r="E18" s="28"/>
      <c r="F18" s="28"/>
      <c r="G18" s="29" t="s">
        <v>20</v>
      </c>
      <c r="I18" s="23" t="s">
        <v>36</v>
      </c>
      <c r="J18" s="23"/>
      <c r="K18" s="23"/>
      <c r="L18" s="23"/>
      <c r="M18" s="24">
        <v>1.8600000000000002E-2</v>
      </c>
    </row>
    <row r="19" spans="3:13" ht="5.4" customHeight="1" thickBot="1" x14ac:dyDescent="0.35">
      <c r="C19" s="30"/>
    </row>
    <row r="20" spans="3:13" ht="14.4" thickBot="1" x14ac:dyDescent="0.3">
      <c r="C20" s="88" t="s">
        <v>14</v>
      </c>
      <c r="D20" s="88"/>
      <c r="E20" s="88"/>
      <c r="F20" s="88"/>
      <c r="G20" s="88"/>
      <c r="I20" s="88" t="s">
        <v>14</v>
      </c>
      <c r="J20" s="88"/>
      <c r="K20" s="88"/>
      <c r="L20" s="88"/>
      <c r="M20" s="88"/>
    </row>
    <row r="21" spans="3:13" ht="14.4" customHeight="1" x14ac:dyDescent="0.25">
      <c r="C21" s="93" t="s">
        <v>15</v>
      </c>
      <c r="D21" s="93"/>
      <c r="E21" s="93"/>
      <c r="F21" s="93"/>
      <c r="G21" s="93"/>
    </row>
    <row r="22" spans="3:13" x14ac:dyDescent="0.25">
      <c r="C22" s="94"/>
      <c r="D22" s="94"/>
      <c r="E22" s="94"/>
      <c r="F22" s="94"/>
      <c r="G22" s="94"/>
    </row>
    <row r="23" spans="3:13" x14ac:dyDescent="0.25">
      <c r="C23" s="94"/>
      <c r="D23" s="94"/>
      <c r="E23" s="94"/>
      <c r="F23" s="94"/>
      <c r="G23" s="94"/>
    </row>
    <row r="24" spans="3:13" x14ac:dyDescent="0.25">
      <c r="C24" s="94"/>
      <c r="D24" s="94"/>
      <c r="E24" s="94"/>
      <c r="F24" s="94"/>
      <c r="G24" s="94"/>
    </row>
    <row r="25" spans="3:13" x14ac:dyDescent="0.25">
      <c r="C25" s="94"/>
      <c r="D25" s="94"/>
      <c r="E25" s="94"/>
      <c r="F25" s="94"/>
      <c r="G25" s="94"/>
    </row>
    <row r="26" spans="3:13" x14ac:dyDescent="0.25">
      <c r="C26" s="94"/>
      <c r="D26" s="94"/>
      <c r="E26" s="94"/>
      <c r="F26" s="94"/>
      <c r="G26" s="94"/>
    </row>
    <row r="27" spans="3:13" x14ac:dyDescent="0.25">
      <c r="C27" s="94"/>
      <c r="D27" s="94"/>
      <c r="E27" s="94"/>
      <c r="F27" s="94"/>
      <c r="G27" s="94"/>
    </row>
    <row r="28" spans="3:13" x14ac:dyDescent="0.25">
      <c r="C28" s="94"/>
      <c r="D28" s="94"/>
      <c r="E28" s="94"/>
      <c r="F28" s="94"/>
      <c r="G28" s="94"/>
    </row>
    <row r="29" spans="3:13" ht="7.8" customHeight="1" x14ac:dyDescent="0.25">
      <c r="C29" s="94"/>
      <c r="D29" s="94"/>
      <c r="E29" s="94"/>
      <c r="F29" s="94"/>
      <c r="G29" s="94"/>
    </row>
    <row r="30" spans="3:13" x14ac:dyDescent="0.25">
      <c r="C30" s="94"/>
      <c r="D30" s="94"/>
      <c r="E30" s="94"/>
      <c r="F30" s="94"/>
      <c r="G30" s="94"/>
    </row>
    <row r="32" spans="3:13" ht="4.8" customHeight="1" thickBot="1" x14ac:dyDescent="0.3"/>
    <row r="33" spans="3:13" ht="14.4" thickBot="1" x14ac:dyDescent="0.3">
      <c r="C33" s="88" t="s">
        <v>150</v>
      </c>
      <c r="D33" s="88"/>
      <c r="E33" s="88"/>
      <c r="F33" s="88"/>
      <c r="G33" s="88"/>
      <c r="I33" s="88" t="s">
        <v>149</v>
      </c>
      <c r="J33" s="88"/>
      <c r="K33" s="88"/>
      <c r="L33" s="88"/>
      <c r="M33" s="88"/>
    </row>
    <row r="34" spans="3:13" x14ac:dyDescent="0.25">
      <c r="C34" s="31" t="s">
        <v>151</v>
      </c>
      <c r="I34" s="31" t="s">
        <v>152</v>
      </c>
    </row>
    <row r="47" spans="3:13" ht="14.4" thickBot="1" x14ac:dyDescent="0.3"/>
    <row r="48" spans="3:13" ht="14.4" thickBot="1" x14ac:dyDescent="0.3">
      <c r="C48" s="92" t="s">
        <v>319</v>
      </c>
      <c r="D48" s="92"/>
      <c r="E48" s="92"/>
      <c r="F48" s="92"/>
      <c r="G48" s="92"/>
      <c r="H48" s="92"/>
      <c r="I48" s="92"/>
      <c r="J48" s="92"/>
      <c r="K48" s="92"/>
      <c r="L48" s="92"/>
      <c r="M48" s="92"/>
    </row>
    <row r="57" spans="2:14" ht="10.199999999999999" customHeight="1" x14ac:dyDescent="0.25">
      <c r="B57" s="35"/>
      <c r="C57" s="35"/>
      <c r="D57" s="35"/>
      <c r="E57" s="35"/>
      <c r="F57" s="35"/>
      <c r="G57" s="35"/>
      <c r="H57" s="35"/>
      <c r="I57" s="35"/>
      <c r="J57" s="35"/>
      <c r="K57" s="35"/>
      <c r="L57" s="35"/>
      <c r="M57" s="35"/>
      <c r="N57" s="35"/>
    </row>
    <row r="59" spans="2:14" ht="14.4" thickBot="1" x14ac:dyDescent="0.3">
      <c r="C59" s="85" t="s">
        <v>153</v>
      </c>
      <c r="D59" s="85"/>
      <c r="E59" s="85"/>
      <c r="F59" s="85"/>
      <c r="G59" s="85"/>
      <c r="H59" s="85"/>
      <c r="I59" s="85"/>
      <c r="J59" s="85"/>
      <c r="K59" s="85"/>
      <c r="L59" s="85"/>
      <c r="M59" s="85"/>
    </row>
    <row r="61" spans="2:14" ht="14.4" thickBot="1" x14ac:dyDescent="0.3">
      <c r="I61" s="91" t="s">
        <v>166</v>
      </c>
      <c r="J61" s="91"/>
      <c r="K61" s="91"/>
      <c r="L61" s="91"/>
      <c r="M61" s="91"/>
    </row>
    <row r="62" spans="2:14" x14ac:dyDescent="0.25">
      <c r="C62" s="32" t="s">
        <v>154</v>
      </c>
      <c r="I62" s="52" t="s">
        <v>167</v>
      </c>
      <c r="J62" s="36" t="s">
        <v>164</v>
      </c>
      <c r="K62" s="33">
        <v>5</v>
      </c>
      <c r="L62" s="33">
        <v>7</v>
      </c>
      <c r="M62" s="33">
        <v>10</v>
      </c>
    </row>
    <row r="63" spans="2:14" ht="14.4" x14ac:dyDescent="0.3">
      <c r="C63" s="40" t="s">
        <v>155</v>
      </c>
      <c r="D63" s="40"/>
      <c r="E63" s="40"/>
      <c r="F63" s="40"/>
      <c r="G63" s="40"/>
      <c r="H63" s="40"/>
      <c r="I63" s="41"/>
      <c r="J63" s="42">
        <v>0.27310000000000001</v>
      </c>
      <c r="K63" s="42">
        <v>0.2382</v>
      </c>
      <c r="L63" s="43">
        <v>0.24030000000000001</v>
      </c>
      <c r="M63" s="42">
        <v>0.2137</v>
      </c>
    </row>
    <row r="64" spans="2:14" ht="14.4" x14ac:dyDescent="0.3">
      <c r="C64" s="44" t="s">
        <v>13</v>
      </c>
      <c r="D64" s="45"/>
      <c r="E64" s="46"/>
      <c r="F64" s="46"/>
      <c r="G64" s="46"/>
      <c r="H64" s="46"/>
      <c r="I64" s="46"/>
      <c r="J64" s="47">
        <v>0.2326</v>
      </c>
      <c r="K64" s="47">
        <v>0.20899999999999999</v>
      </c>
      <c r="L64" s="47">
        <v>0.2185</v>
      </c>
      <c r="M64" s="47">
        <v>0.1946</v>
      </c>
    </row>
    <row r="65" spans="3:13" ht="14.4" x14ac:dyDescent="0.3">
      <c r="C65" s="40" t="s">
        <v>157</v>
      </c>
      <c r="D65" s="40"/>
      <c r="E65" s="40"/>
      <c r="F65" s="40"/>
      <c r="G65" s="40"/>
      <c r="H65" s="40"/>
      <c r="I65" s="40"/>
      <c r="J65" s="48">
        <v>0.22940000000000002</v>
      </c>
      <c r="K65" s="48">
        <v>0.20120000000000002</v>
      </c>
      <c r="L65" s="48">
        <v>0.21050000000000002</v>
      </c>
      <c r="M65" s="48">
        <v>0.18960000000000002</v>
      </c>
    </row>
    <row r="66" spans="3:13" ht="14.4" x14ac:dyDescent="0.3">
      <c r="G66" s="30"/>
      <c r="H66" s="30"/>
      <c r="I66" s="30"/>
      <c r="J66" s="30"/>
      <c r="K66" s="30"/>
      <c r="L66" s="30"/>
      <c r="M66" s="30"/>
    </row>
    <row r="67" spans="3:13" ht="14.4" x14ac:dyDescent="0.3">
      <c r="C67" s="32" t="s">
        <v>158</v>
      </c>
      <c r="D67" s="30"/>
      <c r="E67" s="30"/>
      <c r="F67" s="30"/>
      <c r="G67" s="30"/>
      <c r="H67" s="30"/>
      <c r="I67" s="30"/>
      <c r="J67" s="30"/>
      <c r="K67" s="30"/>
      <c r="L67" s="30"/>
      <c r="M67" s="30"/>
    </row>
    <row r="68" spans="3:13" ht="14.4" x14ac:dyDescent="0.3">
      <c r="C68" s="40" t="s">
        <v>155</v>
      </c>
      <c r="D68" s="40"/>
      <c r="E68" s="40"/>
      <c r="F68" s="40"/>
      <c r="G68" s="40"/>
      <c r="H68" s="40"/>
      <c r="I68" s="40"/>
      <c r="J68" s="49">
        <f>100000*(1+J63)</f>
        <v>127309.99999999999</v>
      </c>
      <c r="K68" s="49">
        <f>100000*(1+K63)^$K$62</f>
        <v>291040.88235698338</v>
      </c>
      <c r="L68" s="49">
        <f t="shared" ref="L68:M68" si="0">100000*(1+L63)^$K$62</f>
        <v>293517.30994168017</v>
      </c>
      <c r="M68" s="49">
        <f t="shared" si="0"/>
        <v>263364.21225310338</v>
      </c>
    </row>
    <row r="69" spans="3:13" ht="14.4" x14ac:dyDescent="0.3">
      <c r="C69" s="44" t="s">
        <v>13</v>
      </c>
      <c r="D69" s="46"/>
      <c r="E69" s="46"/>
      <c r="F69" s="46"/>
      <c r="G69" s="50"/>
      <c r="H69" s="50"/>
      <c r="I69" s="50"/>
      <c r="J69" s="51">
        <v>187269</v>
      </c>
      <c r="K69" s="51">
        <v>258304</v>
      </c>
      <c r="L69" s="51">
        <v>398822</v>
      </c>
      <c r="M69" s="51">
        <v>591868</v>
      </c>
    </row>
    <row r="70" spans="3:13" ht="14.4" x14ac:dyDescent="0.3">
      <c r="C70" s="40" t="s">
        <v>157</v>
      </c>
      <c r="D70" s="41"/>
      <c r="E70" s="41"/>
      <c r="F70" s="41"/>
      <c r="G70" s="41"/>
      <c r="H70" s="41"/>
      <c r="I70" s="41"/>
      <c r="J70" s="49">
        <v>185815</v>
      </c>
      <c r="K70" s="49">
        <v>250079</v>
      </c>
      <c r="L70" s="49">
        <v>380850</v>
      </c>
      <c r="M70" s="49">
        <v>567557</v>
      </c>
    </row>
    <row r="72" spans="3:13" x14ac:dyDescent="0.25">
      <c r="C72" s="32" t="s">
        <v>159</v>
      </c>
    </row>
    <row r="73" spans="3:13" ht="14.4" x14ac:dyDescent="0.3">
      <c r="C73" s="40" t="s">
        <v>155</v>
      </c>
      <c r="D73" s="41"/>
      <c r="E73" s="41"/>
      <c r="F73" s="41"/>
      <c r="G73" s="41"/>
      <c r="H73" s="41"/>
      <c r="I73" s="49" cm="1">
        <f t="array" ref="I73:M73">TRANSPOSE(Sheet2!E33:E37)</f>
        <v>125636</v>
      </c>
      <c r="J73" s="49">
        <v>265538</v>
      </c>
      <c r="K73" s="49">
        <v>479056</v>
      </c>
      <c r="L73" s="49">
        <v>731297</v>
      </c>
      <c r="M73" s="49">
        <v>1033168</v>
      </c>
    </row>
    <row r="74" spans="3:13" ht="14.4" x14ac:dyDescent="0.3">
      <c r="C74" s="44" t="s">
        <v>13</v>
      </c>
      <c r="D74" s="50"/>
      <c r="E74" s="50"/>
      <c r="F74" s="50"/>
      <c r="G74" s="50"/>
      <c r="H74" s="50"/>
      <c r="I74" s="51" cm="1">
        <f t="array" ref="I74:M74">TRANSPOSE(Sheet2!G33:G37)</f>
        <v>126921</v>
      </c>
      <c r="J74" s="51">
        <v>263191</v>
      </c>
      <c r="K74" s="51">
        <v>467027</v>
      </c>
      <c r="L74" s="51">
        <v>704945</v>
      </c>
      <c r="M74" s="51">
        <v>981590</v>
      </c>
    </row>
    <row r="75" spans="3:13" ht="14.4" x14ac:dyDescent="0.3">
      <c r="C75" s="40" t="s">
        <v>157</v>
      </c>
      <c r="D75" s="41"/>
      <c r="E75" s="41"/>
      <c r="F75" s="41"/>
      <c r="G75" s="41"/>
      <c r="H75" s="41"/>
      <c r="I75" s="49" cm="1">
        <f t="array" ref="I75:M75">TRANSPOSE(Sheet2!I33:I37)</f>
        <v>127051</v>
      </c>
      <c r="J75" s="49">
        <v>262574</v>
      </c>
      <c r="K75" s="49">
        <v>427889</v>
      </c>
      <c r="L75" s="49">
        <v>611071</v>
      </c>
      <c r="M75" s="49">
        <v>812532</v>
      </c>
    </row>
    <row r="77" spans="3:13" x14ac:dyDescent="0.25">
      <c r="C77" s="32" t="s">
        <v>160</v>
      </c>
    </row>
    <row r="78" spans="3:13" ht="14.4" x14ac:dyDescent="0.3">
      <c r="C78" s="40" t="s">
        <v>155</v>
      </c>
      <c r="D78" s="41"/>
      <c r="E78" s="41"/>
      <c r="F78" s="41"/>
      <c r="G78" s="41"/>
      <c r="H78" s="41"/>
      <c r="I78" s="40" cm="1">
        <f t="array" ref="I78:M78">TRANSPOSE(Sheet2!E40:E44)</f>
        <v>125636</v>
      </c>
      <c r="J78" s="40">
        <v>278102</v>
      </c>
      <c r="K78" s="40">
        <v>519430</v>
      </c>
      <c r="L78" s="40">
        <v>1207847</v>
      </c>
      <c r="M78" s="40">
        <v>2484871</v>
      </c>
    </row>
    <row r="79" spans="3:13" ht="14.4" x14ac:dyDescent="0.3">
      <c r="C79" s="44" t="s">
        <v>13</v>
      </c>
      <c r="D79" s="50"/>
      <c r="E79" s="50"/>
      <c r="F79" s="50"/>
      <c r="G79" s="50"/>
      <c r="H79" s="50"/>
      <c r="I79" s="46" cm="1">
        <f t="array" ref="I79:M79">TRANSPOSE(Sheet2!G40:G44)</f>
        <v>116039</v>
      </c>
      <c r="J79" s="46">
        <v>253329</v>
      </c>
      <c r="K79" s="46">
        <v>475820</v>
      </c>
      <c r="L79" s="46">
        <v>773305</v>
      </c>
      <c r="M79" s="46">
        <v>1164420</v>
      </c>
    </row>
    <row r="80" spans="3:13" ht="14.4" x14ac:dyDescent="0.3">
      <c r="C80" s="40" t="s">
        <v>157</v>
      </c>
      <c r="D80" s="41"/>
      <c r="E80" s="41"/>
      <c r="F80" s="41"/>
      <c r="G80" s="41"/>
      <c r="H80" s="41"/>
      <c r="I80" s="40" cm="1">
        <f t="array" ref="I80:M80">TRANSPOSE(Sheet2!I40:I44)</f>
        <v>125264</v>
      </c>
      <c r="J80" s="40">
        <v>269715</v>
      </c>
      <c r="K80" s="40">
        <v>456293</v>
      </c>
      <c r="L80" s="40">
        <v>682434</v>
      </c>
      <c r="M80" s="40">
        <v>942815</v>
      </c>
    </row>
    <row r="88" spans="2:13" ht="14.4" thickBot="1" x14ac:dyDescent="0.3">
      <c r="C88" s="85" t="s">
        <v>165</v>
      </c>
      <c r="D88" s="85"/>
      <c r="E88" s="85"/>
      <c r="F88" s="85"/>
      <c r="G88" s="85"/>
      <c r="H88" s="85"/>
      <c r="I88" s="85"/>
      <c r="J88" s="85"/>
      <c r="K88" s="85"/>
      <c r="L88" s="85"/>
      <c r="M88" s="85"/>
    </row>
    <row r="89" spans="2:13" ht="14.4" x14ac:dyDescent="0.3">
      <c r="B89" s="30"/>
      <c r="C89" s="55"/>
      <c r="D89" s="30"/>
      <c r="E89" s="30"/>
      <c r="F89" s="30"/>
      <c r="G89" s="30" t="s">
        <v>171</v>
      </c>
      <c r="H89" s="30"/>
      <c r="I89" s="54" t="s">
        <v>172</v>
      </c>
      <c r="J89" s="30" t="s">
        <v>173</v>
      </c>
      <c r="K89" s="30" t="s">
        <v>174</v>
      </c>
      <c r="L89" s="30" t="s">
        <v>175</v>
      </c>
      <c r="M89" s="30" t="s">
        <v>176</v>
      </c>
    </row>
    <row r="90" spans="2:13" ht="14.4" x14ac:dyDescent="0.3">
      <c r="B90" s="30"/>
      <c r="C90" s="53" t="s">
        <v>168</v>
      </c>
      <c r="D90" s="30"/>
      <c r="E90" s="30"/>
      <c r="F90" s="30"/>
      <c r="G90" s="56">
        <v>24.35</v>
      </c>
      <c r="H90" s="56"/>
      <c r="I90" s="57">
        <v>15.42</v>
      </c>
      <c r="J90" s="57">
        <v>1.18</v>
      </c>
      <c r="K90" s="57">
        <v>1.74</v>
      </c>
      <c r="L90" s="57">
        <v>0.95</v>
      </c>
      <c r="M90" s="57">
        <v>3.48</v>
      </c>
    </row>
    <row r="91" spans="2:13" ht="14.4" x14ac:dyDescent="0.3">
      <c r="B91" s="30"/>
      <c r="C91" s="53" t="s">
        <v>170</v>
      </c>
      <c r="D91" s="30"/>
      <c r="E91" s="30"/>
      <c r="F91" s="30"/>
      <c r="G91" s="56">
        <v>21.72</v>
      </c>
      <c r="H91" s="56"/>
      <c r="I91" s="57">
        <v>15.9</v>
      </c>
      <c r="J91" s="57">
        <v>0.98</v>
      </c>
      <c r="K91" s="57">
        <v>1.37</v>
      </c>
      <c r="L91" s="57" t="s">
        <v>177</v>
      </c>
      <c r="M91" s="57" t="s">
        <v>177</v>
      </c>
    </row>
    <row r="92" spans="2:13" ht="14.4" x14ac:dyDescent="0.3">
      <c r="B92" s="30"/>
      <c r="C92" s="53" t="s">
        <v>169</v>
      </c>
      <c r="D92" s="30"/>
      <c r="E92" s="30"/>
      <c r="F92" s="30"/>
      <c r="G92" s="56">
        <v>21.36</v>
      </c>
      <c r="H92" s="56"/>
      <c r="I92" s="57">
        <v>15.7</v>
      </c>
      <c r="J92" s="57">
        <v>0.97</v>
      </c>
      <c r="K92" s="57">
        <v>1.32</v>
      </c>
      <c r="L92" s="57">
        <v>0.95</v>
      </c>
      <c r="M92" s="57">
        <v>0.5</v>
      </c>
    </row>
    <row r="93" spans="2:13" ht="14.4" x14ac:dyDescent="0.3">
      <c r="B93" s="30"/>
      <c r="C93" s="30" t="s">
        <v>179</v>
      </c>
      <c r="D93" s="30"/>
      <c r="E93" s="30"/>
      <c r="F93" s="30"/>
      <c r="G93" s="30">
        <v>40</v>
      </c>
      <c r="H93" s="30"/>
      <c r="I93" s="54">
        <v>40</v>
      </c>
      <c r="J93" s="54">
        <v>40</v>
      </c>
      <c r="K93" s="54">
        <v>40</v>
      </c>
      <c r="L93" s="54">
        <v>40</v>
      </c>
      <c r="M93" s="54">
        <v>40</v>
      </c>
    </row>
    <row r="94" spans="2:13" ht="14.4" x14ac:dyDescent="0.3">
      <c r="B94" s="30"/>
      <c r="C94" s="30"/>
      <c r="D94" s="30"/>
      <c r="E94" s="30"/>
      <c r="F94" s="30"/>
      <c r="G94" s="30"/>
      <c r="H94" s="30"/>
      <c r="I94" s="30"/>
      <c r="J94" s="30"/>
      <c r="K94" s="30"/>
      <c r="L94" s="30"/>
      <c r="M94" s="30"/>
    </row>
    <row r="107" spans="3:13" x14ac:dyDescent="0.25">
      <c r="I107" s="58" t="s">
        <v>180</v>
      </c>
    </row>
    <row r="109" spans="3:13" ht="13.8" customHeight="1" x14ac:dyDescent="0.25"/>
    <row r="110" spans="3:13" ht="14.4" thickBot="1" x14ac:dyDescent="0.3">
      <c r="C110" s="84" t="s">
        <v>181</v>
      </c>
      <c r="D110" s="84"/>
      <c r="E110" s="84"/>
      <c r="F110" s="84"/>
      <c r="G110" s="84"/>
      <c r="H110" s="84"/>
      <c r="I110" s="84"/>
      <c r="J110" s="84"/>
      <c r="K110" s="84"/>
      <c r="L110" s="84"/>
      <c r="M110" s="84"/>
    </row>
    <row r="112" spans="3:13" ht="15" thickBot="1" x14ac:dyDescent="0.3">
      <c r="C112" s="77" t="s">
        <v>195</v>
      </c>
      <c r="D112" s="65"/>
      <c r="E112" s="65"/>
      <c r="F112" s="65"/>
      <c r="G112" s="65"/>
      <c r="H112" s="65"/>
      <c r="I112" s="65"/>
      <c r="J112" s="65"/>
      <c r="K112" s="66" t="s">
        <v>189</v>
      </c>
      <c r="L112" s="66" t="s">
        <v>190</v>
      </c>
      <c r="M112" s="66" t="s">
        <v>191</v>
      </c>
    </row>
    <row r="113" spans="1:13" ht="13.8" customHeight="1" x14ac:dyDescent="0.25">
      <c r="C113" s="67" t="s">
        <v>192</v>
      </c>
      <c r="D113" s="64"/>
      <c r="E113" s="64"/>
      <c r="F113" s="64"/>
      <c r="G113" s="64"/>
      <c r="H113" s="64"/>
      <c r="I113" s="64"/>
      <c r="J113" s="64"/>
      <c r="K113" s="67">
        <v>24.26</v>
      </c>
      <c r="L113" s="67">
        <v>27.33</v>
      </c>
      <c r="M113" s="67">
        <v>20.37</v>
      </c>
    </row>
    <row r="114" spans="1:13" ht="13.8" customHeight="1" x14ac:dyDescent="0.25">
      <c r="C114" s="83" t="s">
        <v>193</v>
      </c>
      <c r="D114" s="83"/>
      <c r="E114" s="50"/>
      <c r="F114" s="50"/>
      <c r="G114" s="50"/>
      <c r="H114" s="50"/>
      <c r="I114" s="50"/>
      <c r="J114" s="50"/>
      <c r="K114" s="63">
        <v>3.42</v>
      </c>
      <c r="L114" s="68">
        <v>4</v>
      </c>
      <c r="M114" s="63">
        <v>2.94</v>
      </c>
    </row>
    <row r="115" spans="1:13" ht="13.8" customHeight="1" x14ac:dyDescent="0.25">
      <c r="C115" s="83" t="s">
        <v>184</v>
      </c>
      <c r="D115" s="83"/>
      <c r="E115" s="50"/>
      <c r="F115" s="50"/>
      <c r="G115" s="50"/>
      <c r="H115" s="50"/>
      <c r="I115" s="50"/>
      <c r="J115" s="50"/>
      <c r="K115" s="63">
        <v>2.77</v>
      </c>
      <c r="L115" s="63">
        <v>3.08</v>
      </c>
      <c r="M115" s="63">
        <v>2.64</v>
      </c>
    </row>
    <row r="116" spans="1:13" ht="13.8" customHeight="1" x14ac:dyDescent="0.25">
      <c r="C116" s="83" t="s">
        <v>185</v>
      </c>
      <c r="D116" s="83"/>
      <c r="E116" s="50"/>
      <c r="F116" s="50"/>
      <c r="G116" s="50"/>
      <c r="H116" s="50"/>
      <c r="I116" s="50"/>
      <c r="J116" s="50"/>
      <c r="K116" s="63">
        <v>21.88</v>
      </c>
      <c r="L116" s="63">
        <v>23.23</v>
      </c>
      <c r="M116" s="63">
        <v>16.16</v>
      </c>
    </row>
    <row r="117" spans="1:13" ht="13.8" customHeight="1" x14ac:dyDescent="0.25">
      <c r="C117" s="83" t="s">
        <v>186</v>
      </c>
      <c r="D117" s="83"/>
      <c r="E117" s="50"/>
      <c r="F117" s="50"/>
      <c r="G117" s="50"/>
      <c r="H117" s="50"/>
      <c r="I117" s="50"/>
      <c r="J117" s="50"/>
      <c r="K117" s="63">
        <v>0.96</v>
      </c>
      <c r="L117" s="63">
        <v>0.85</v>
      </c>
      <c r="M117" s="63">
        <v>1.37</v>
      </c>
    </row>
    <row r="118" spans="1:13" ht="13.8" customHeight="1" x14ac:dyDescent="0.25">
      <c r="C118" s="83" t="s">
        <v>194</v>
      </c>
      <c r="D118" s="83"/>
      <c r="E118" s="50"/>
      <c r="F118" s="50"/>
      <c r="G118" s="50"/>
      <c r="H118" s="50"/>
      <c r="I118" s="50"/>
      <c r="J118" s="50"/>
      <c r="K118" s="63">
        <v>15.73</v>
      </c>
      <c r="L118" s="63">
        <v>14.73</v>
      </c>
      <c r="M118" s="63">
        <v>16.04</v>
      </c>
    </row>
    <row r="119" spans="1:13" ht="13.8" customHeight="1" x14ac:dyDescent="0.25">
      <c r="C119" s="61"/>
    </row>
    <row r="120" spans="1:13" ht="13.8" customHeight="1" thickBot="1" x14ac:dyDescent="0.3">
      <c r="A120" s="34" t="s">
        <v>208</v>
      </c>
      <c r="C120" s="77" t="s">
        <v>38</v>
      </c>
      <c r="D120" s="65"/>
      <c r="E120" s="65"/>
      <c r="F120" s="65"/>
      <c r="G120" s="65"/>
      <c r="H120" s="65"/>
      <c r="I120" s="65"/>
      <c r="J120" s="65"/>
      <c r="K120" s="65"/>
      <c r="L120" s="66" t="s">
        <v>189</v>
      </c>
      <c r="M120" s="66" t="s">
        <v>196</v>
      </c>
    </row>
    <row r="121" spans="1:13" ht="13.8" customHeight="1" x14ac:dyDescent="0.25">
      <c r="C121" s="73" t="s">
        <v>198</v>
      </c>
      <c r="D121" s="74"/>
      <c r="E121" s="70"/>
      <c r="F121" s="70"/>
      <c r="G121" s="70"/>
      <c r="H121" s="70"/>
      <c r="I121" s="70"/>
      <c r="J121" s="70"/>
      <c r="K121" s="70"/>
      <c r="L121" s="69">
        <v>4.92</v>
      </c>
      <c r="M121" s="69">
        <v>8.52</v>
      </c>
    </row>
    <row r="122" spans="1:13" ht="13.8" customHeight="1" x14ac:dyDescent="0.25">
      <c r="C122" s="82" t="s">
        <v>199</v>
      </c>
      <c r="D122" s="82"/>
      <c r="E122" s="72"/>
      <c r="F122" s="72"/>
      <c r="G122" s="72"/>
      <c r="H122" s="72"/>
      <c r="I122" s="72"/>
      <c r="J122" s="72"/>
      <c r="K122" s="72"/>
      <c r="L122" s="71">
        <v>19.29</v>
      </c>
      <c r="M122" s="71">
        <v>16.16</v>
      </c>
    </row>
    <row r="123" spans="1:13" ht="13.8" customHeight="1" x14ac:dyDescent="0.25">
      <c r="C123" s="75" t="s">
        <v>200</v>
      </c>
      <c r="D123" s="76"/>
      <c r="E123" s="72"/>
      <c r="F123" s="72"/>
      <c r="G123" s="72"/>
      <c r="H123" s="72"/>
      <c r="I123" s="72"/>
      <c r="J123" s="72"/>
      <c r="K123" s="72"/>
      <c r="L123" s="71">
        <v>27.29</v>
      </c>
      <c r="M123" s="71">
        <v>24.25</v>
      </c>
    </row>
    <row r="124" spans="1:13" ht="13.8" customHeight="1" x14ac:dyDescent="0.25">
      <c r="C124" s="75" t="s">
        <v>201</v>
      </c>
      <c r="D124" s="76"/>
      <c r="E124" s="72"/>
      <c r="F124" s="72"/>
      <c r="G124" s="72"/>
      <c r="H124" s="72"/>
      <c r="I124" s="72"/>
      <c r="J124" s="72"/>
      <c r="K124" s="72"/>
      <c r="L124" s="71">
        <v>1.32</v>
      </c>
      <c r="M124" s="71">
        <v>3.14</v>
      </c>
    </row>
    <row r="125" spans="1:13" ht="13.8" customHeight="1" x14ac:dyDescent="0.25">
      <c r="C125" s="82" t="s">
        <v>203</v>
      </c>
      <c r="D125" s="82"/>
      <c r="E125" s="72"/>
      <c r="F125" s="72"/>
      <c r="G125" s="72"/>
      <c r="H125" s="72"/>
      <c r="I125" s="72"/>
      <c r="J125" s="72"/>
      <c r="K125" s="72"/>
      <c r="L125" s="71">
        <v>3.49</v>
      </c>
      <c r="M125" s="71">
        <v>3.63</v>
      </c>
    </row>
    <row r="126" spans="1:13" ht="13.8" customHeight="1" x14ac:dyDescent="0.25">
      <c r="C126" s="75" t="s">
        <v>58</v>
      </c>
      <c r="D126" s="76"/>
      <c r="E126" s="72"/>
      <c r="F126" s="72"/>
      <c r="G126" s="72"/>
      <c r="H126" s="72"/>
      <c r="I126" s="72"/>
      <c r="J126" s="72"/>
      <c r="K126" s="72"/>
      <c r="L126" s="71">
        <v>0.89</v>
      </c>
      <c r="M126" s="71">
        <v>1.44</v>
      </c>
    </row>
    <row r="127" spans="1:13" ht="13.8" customHeight="1" x14ac:dyDescent="0.25">
      <c r="C127" s="75" t="s">
        <v>204</v>
      </c>
      <c r="D127" s="76"/>
      <c r="E127" s="72"/>
      <c r="F127" s="72"/>
      <c r="G127" s="72"/>
      <c r="H127" s="72"/>
      <c r="I127" s="72"/>
      <c r="J127" s="72"/>
      <c r="K127" s="72"/>
      <c r="L127" s="71">
        <v>15.86</v>
      </c>
      <c r="M127" s="71">
        <v>16.03</v>
      </c>
    </row>
    <row r="128" spans="1:13" ht="13.8" customHeight="1" x14ac:dyDescent="0.25">
      <c r="C128" s="75" t="s">
        <v>29</v>
      </c>
      <c r="D128" s="76"/>
      <c r="E128" s="72"/>
      <c r="F128" s="72"/>
      <c r="G128" s="72"/>
      <c r="H128" s="72"/>
      <c r="I128" s="72"/>
      <c r="J128" s="72"/>
      <c r="K128" s="72"/>
      <c r="L128" s="71">
        <v>6.25</v>
      </c>
      <c r="M128" s="71">
        <v>12.09</v>
      </c>
    </row>
    <row r="129" spans="3:13" ht="13.8" customHeight="1" x14ac:dyDescent="0.25">
      <c r="C129" s="75" t="s">
        <v>206</v>
      </c>
      <c r="D129" s="76"/>
      <c r="E129" s="72"/>
      <c r="F129" s="72"/>
      <c r="G129" s="72"/>
      <c r="H129" s="72"/>
      <c r="I129" s="72"/>
      <c r="J129" s="72"/>
      <c r="K129" s="72"/>
      <c r="L129" s="71">
        <v>3.49</v>
      </c>
      <c r="M129" s="71">
        <v>2.66</v>
      </c>
    </row>
    <row r="130" spans="3:13" x14ac:dyDescent="0.25">
      <c r="C130" s="75" t="s">
        <v>25</v>
      </c>
      <c r="D130" s="76"/>
      <c r="E130" s="72"/>
      <c r="F130" s="72"/>
      <c r="G130" s="72"/>
      <c r="H130" s="72"/>
      <c r="I130" s="72"/>
      <c r="J130" s="72"/>
      <c r="K130" s="72"/>
      <c r="L130" s="71">
        <v>11.19</v>
      </c>
      <c r="M130" s="71">
        <v>10.19</v>
      </c>
    </row>
    <row r="131" spans="3:13" x14ac:dyDescent="0.25">
      <c r="C131" s="75" t="s">
        <v>207</v>
      </c>
      <c r="D131" s="76"/>
      <c r="E131" s="72"/>
      <c r="F131" s="72"/>
      <c r="G131" s="72"/>
      <c r="H131" s="72"/>
      <c r="I131" s="72"/>
      <c r="J131" s="72"/>
      <c r="K131" s="72"/>
      <c r="L131" s="71">
        <v>6.02</v>
      </c>
      <c r="M131" s="71">
        <v>1.88</v>
      </c>
    </row>
    <row r="133" spans="3:13" ht="14.4" thickBot="1" x14ac:dyDescent="0.3">
      <c r="C133" s="78" t="s">
        <v>215</v>
      </c>
      <c r="D133" s="39"/>
      <c r="E133" s="39"/>
      <c r="F133" s="39"/>
      <c r="G133" s="79"/>
      <c r="H133" s="79"/>
      <c r="I133" s="79"/>
      <c r="J133" s="79"/>
      <c r="K133" s="79"/>
      <c r="L133" s="80" t="s">
        <v>216</v>
      </c>
      <c r="M133" s="80" t="s">
        <v>217</v>
      </c>
    </row>
    <row r="135" spans="3:13" ht="14.4" x14ac:dyDescent="0.3">
      <c r="C135" s="81" t="s">
        <v>209</v>
      </c>
      <c r="D135" s="81"/>
      <c r="E135" s="81"/>
      <c r="F135" s="81"/>
      <c r="L135" s="7">
        <v>0.18181818181818188</v>
      </c>
      <c r="M135" s="62" t="s">
        <v>178</v>
      </c>
    </row>
    <row r="136" spans="3:13" ht="14.4" x14ac:dyDescent="0.3">
      <c r="C136" s="81" t="s">
        <v>210</v>
      </c>
      <c r="D136" s="81"/>
      <c r="E136" s="81"/>
      <c r="F136" s="81"/>
      <c r="L136" s="7">
        <v>0.14555421913121558</v>
      </c>
      <c r="M136" s="62" t="s">
        <v>178</v>
      </c>
    </row>
    <row r="137" spans="3:13" ht="14.4" x14ac:dyDescent="0.3">
      <c r="C137" s="81" t="s">
        <v>211</v>
      </c>
      <c r="D137" s="81"/>
      <c r="E137" s="81"/>
      <c r="F137" s="81"/>
      <c r="L137" s="7">
        <v>0.11300811568701419</v>
      </c>
      <c r="M137" s="62" t="s">
        <v>178</v>
      </c>
    </row>
    <row r="138" spans="3:13" ht="14.4" x14ac:dyDescent="0.3">
      <c r="C138" s="81" t="s">
        <v>212</v>
      </c>
      <c r="D138" s="81"/>
      <c r="E138" s="81"/>
      <c r="F138" s="81"/>
      <c r="L138" s="7">
        <v>7.1817552083333291E-2</v>
      </c>
      <c r="M138" s="62" t="s">
        <v>178</v>
      </c>
    </row>
    <row r="139" spans="3:13" ht="14.4" x14ac:dyDescent="0.3">
      <c r="C139" s="81" t="s">
        <v>213</v>
      </c>
      <c r="D139" s="81"/>
      <c r="E139" s="30"/>
      <c r="F139" s="30"/>
      <c r="L139" s="7">
        <v>4.2660714285714274E-2</v>
      </c>
      <c r="M139" s="62" t="s">
        <v>178</v>
      </c>
    </row>
    <row r="140" spans="3:13" ht="14.4" x14ac:dyDescent="0.3">
      <c r="C140" s="81" t="s">
        <v>214</v>
      </c>
      <c r="D140" s="81"/>
      <c r="E140" s="30"/>
      <c r="F140" s="30"/>
      <c r="L140" s="7">
        <v>1.9607843137254832E-2</v>
      </c>
      <c r="M140" s="62" t="s">
        <v>178</v>
      </c>
    </row>
    <row r="141" spans="3:13" ht="14.4" x14ac:dyDescent="0.3">
      <c r="C141" s="30" t="s">
        <v>218</v>
      </c>
      <c r="L141" s="62" t="s">
        <v>178</v>
      </c>
      <c r="M141" s="62" t="s">
        <v>178</v>
      </c>
    </row>
    <row r="142" spans="3:13" ht="14.4" x14ac:dyDescent="0.3">
      <c r="C142" s="30" t="s">
        <v>219</v>
      </c>
      <c r="L142" s="62" t="s">
        <v>178</v>
      </c>
      <c r="M142" s="62" t="s">
        <v>178</v>
      </c>
    </row>
    <row r="143" spans="3:13" ht="14.4" x14ac:dyDescent="0.3">
      <c r="C143" s="30" t="s">
        <v>220</v>
      </c>
      <c r="L143" s="62" t="s">
        <v>178</v>
      </c>
      <c r="M143" s="62" t="s">
        <v>178</v>
      </c>
    </row>
    <row r="144" spans="3:13" ht="14.4" x14ac:dyDescent="0.3">
      <c r="C144" s="30" t="s">
        <v>221</v>
      </c>
      <c r="L144" s="62" t="s">
        <v>178</v>
      </c>
      <c r="M144" s="62" t="s">
        <v>178</v>
      </c>
    </row>
    <row r="145" spans="3:13" ht="14.4" x14ac:dyDescent="0.3">
      <c r="C145" s="30" t="s">
        <v>222</v>
      </c>
      <c r="L145" s="62" t="s">
        <v>178</v>
      </c>
      <c r="M145" s="62" t="s">
        <v>178</v>
      </c>
    </row>
    <row r="146" spans="3:13" ht="14.4" x14ac:dyDescent="0.3">
      <c r="C146" s="30" t="s">
        <v>223</v>
      </c>
      <c r="L146" s="62" t="s">
        <v>178</v>
      </c>
      <c r="M146" s="62" t="s">
        <v>178</v>
      </c>
    </row>
    <row r="147" spans="3:13" ht="14.4" x14ac:dyDescent="0.3">
      <c r="C147" s="30" t="s">
        <v>224</v>
      </c>
      <c r="L147" s="62" t="s">
        <v>178</v>
      </c>
      <c r="M147" s="62" t="s">
        <v>178</v>
      </c>
    </row>
    <row r="148" spans="3:13" ht="14.4" x14ac:dyDescent="0.3">
      <c r="C148" s="30" t="s">
        <v>225</v>
      </c>
      <c r="L148" s="62" t="s">
        <v>178</v>
      </c>
      <c r="M148" s="62" t="s">
        <v>178</v>
      </c>
    </row>
    <row r="149" spans="3:13" ht="14.4" x14ac:dyDescent="0.3">
      <c r="C149" s="30" t="s">
        <v>226</v>
      </c>
      <c r="L149" s="62" t="s">
        <v>178</v>
      </c>
      <c r="M149" s="62" t="s">
        <v>178</v>
      </c>
    </row>
    <row r="150" spans="3:13" x14ac:dyDescent="0.25">
      <c r="L150" s="62" t="s">
        <v>178</v>
      </c>
      <c r="M150" s="62" t="s">
        <v>178</v>
      </c>
    </row>
  </sheetData>
  <mergeCells count="27">
    <mergeCell ref="C88:M88"/>
    <mergeCell ref="B3:N3"/>
    <mergeCell ref="B5:N5"/>
    <mergeCell ref="C7:G7"/>
    <mergeCell ref="I7:M7"/>
    <mergeCell ref="C20:G20"/>
    <mergeCell ref="C59:M59"/>
    <mergeCell ref="I61:M61"/>
    <mergeCell ref="I20:M20"/>
    <mergeCell ref="C33:G33"/>
    <mergeCell ref="I33:M33"/>
    <mergeCell ref="C48:M48"/>
    <mergeCell ref="C21:G30"/>
    <mergeCell ref="C118:D118"/>
    <mergeCell ref="C135:F135"/>
    <mergeCell ref="C136:F136"/>
    <mergeCell ref="C137:F137"/>
    <mergeCell ref="C110:M110"/>
    <mergeCell ref="C114:D114"/>
    <mergeCell ref="C115:D115"/>
    <mergeCell ref="C116:D116"/>
    <mergeCell ref="C117:D117"/>
    <mergeCell ref="C138:F138"/>
    <mergeCell ref="C122:D122"/>
    <mergeCell ref="C125:D125"/>
    <mergeCell ref="C139:D139"/>
    <mergeCell ref="C140:D140"/>
  </mergeCells>
  <pageMargins left="0.70866141732283472" right="0.70866141732283472" top="0.74803149606299213" bottom="0.74803149606299213" header="0.31496062992125984" footer="0.31496062992125984"/>
  <pageSetup scale="32" orientation="portrait" r:id="rId1"/>
  <rowBreaks count="2" manualBreakCount="2">
    <brk id="55" max="16383" man="1"/>
    <brk id="108" max="16383" man="1"/>
  </rowBreaks>
  <colBreaks count="1" manualBreakCount="1">
    <brk id="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7A5A4-C129-4A88-83C2-66B1AC0A5439}">
  <sheetPr>
    <tabColor rgb="FFFF0000"/>
  </sheetPr>
  <dimension ref="A1"/>
  <sheetViews>
    <sheetView workbookViewId="0"/>
  </sheetViews>
  <sheetFormatPr defaultRowHeight="14.4" x14ac:dyDescent="0.3"/>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8BF2D-3728-40F9-8429-5D03A9EF9257}">
  <dimension ref="B1:G98"/>
  <sheetViews>
    <sheetView showGridLines="0" workbookViewId="0">
      <selection activeCell="G21" sqref="G21"/>
      <pivotSelection pane="bottomRight" extendable="1" activeRow="20" activeCol="6" previousRow="20" previousCol="6" click="1" r:id="rId1">
        <pivotArea type="data" fieldPosition="0">
          <references count="1">
            <reference field="1" count="1">
              <x v="16"/>
            </reference>
          </references>
        </pivotArea>
      </pivotSelection>
    </sheetView>
  </sheetViews>
  <sheetFormatPr defaultRowHeight="14.4" x14ac:dyDescent="0.3"/>
  <cols>
    <col min="1" max="1" width="1.88671875" customWidth="1"/>
    <col min="2" max="2" width="41.6640625" bestFit="1" customWidth="1"/>
    <col min="3" max="3" width="24" bestFit="1" customWidth="1"/>
    <col min="4" max="4" width="12.21875" bestFit="1" customWidth="1"/>
    <col min="6" max="6" width="24" bestFit="1" customWidth="1"/>
    <col min="7" max="7" width="14.6640625" bestFit="1" customWidth="1"/>
  </cols>
  <sheetData>
    <row r="1" spans="2:7" x14ac:dyDescent="0.3">
      <c r="B1" s="3" t="s">
        <v>37</v>
      </c>
      <c r="C1" s="3" t="s">
        <v>38</v>
      </c>
      <c r="D1" s="4" t="s">
        <v>39</v>
      </c>
    </row>
    <row r="2" spans="2:7" x14ac:dyDescent="0.3">
      <c r="B2" t="s">
        <v>22</v>
      </c>
      <c r="C2" t="s">
        <v>23</v>
      </c>
      <c r="D2">
        <v>3.52</v>
      </c>
    </row>
    <row r="3" spans="2:7" x14ac:dyDescent="0.3">
      <c r="B3" t="s">
        <v>24</v>
      </c>
      <c r="C3" t="s">
        <v>25</v>
      </c>
      <c r="D3">
        <v>2.96</v>
      </c>
    </row>
    <row r="4" spans="2:7" x14ac:dyDescent="0.3">
      <c r="B4" t="s">
        <v>26</v>
      </c>
      <c r="C4" t="s">
        <v>23</v>
      </c>
      <c r="D4">
        <v>2.52</v>
      </c>
      <c r="F4" s="5" t="s">
        <v>140</v>
      </c>
      <c r="G4" t="s">
        <v>141</v>
      </c>
    </row>
    <row r="5" spans="2:7" x14ac:dyDescent="0.3">
      <c r="B5" t="s">
        <v>27</v>
      </c>
      <c r="C5" t="s">
        <v>23</v>
      </c>
      <c r="D5">
        <v>2.5</v>
      </c>
      <c r="F5" s="6" t="s">
        <v>35</v>
      </c>
      <c r="G5">
        <v>13.45</v>
      </c>
    </row>
    <row r="6" spans="2:7" x14ac:dyDescent="0.3">
      <c r="B6" t="s">
        <v>28</v>
      </c>
      <c r="C6" t="s">
        <v>29</v>
      </c>
      <c r="D6">
        <v>2.48</v>
      </c>
      <c r="F6" s="6" t="s">
        <v>61</v>
      </c>
      <c r="G6">
        <v>5.9300000000000006</v>
      </c>
    </row>
    <row r="7" spans="2:7" x14ac:dyDescent="0.3">
      <c r="B7" t="s">
        <v>30</v>
      </c>
      <c r="C7" t="s">
        <v>23</v>
      </c>
      <c r="D7">
        <v>2.34</v>
      </c>
      <c r="F7" s="6" t="s">
        <v>103</v>
      </c>
      <c r="G7">
        <v>1.74</v>
      </c>
    </row>
    <row r="8" spans="2:7" x14ac:dyDescent="0.3">
      <c r="B8" t="s">
        <v>31</v>
      </c>
      <c r="C8" t="s">
        <v>32</v>
      </c>
      <c r="D8">
        <v>2.2599999999999998</v>
      </c>
      <c r="F8" s="6" t="s">
        <v>52</v>
      </c>
      <c r="G8">
        <v>2.7600000000000002</v>
      </c>
    </row>
    <row r="9" spans="2:7" x14ac:dyDescent="0.3">
      <c r="B9" t="s">
        <v>33</v>
      </c>
      <c r="C9" t="s">
        <v>23</v>
      </c>
      <c r="D9">
        <v>2.06</v>
      </c>
      <c r="F9" s="6" t="s">
        <v>32</v>
      </c>
      <c r="G9">
        <v>7.1099999999999985</v>
      </c>
    </row>
    <row r="10" spans="2:7" x14ac:dyDescent="0.3">
      <c r="B10" t="s">
        <v>34</v>
      </c>
      <c r="C10" t="s">
        <v>35</v>
      </c>
      <c r="D10">
        <v>1.95</v>
      </c>
      <c r="F10" s="6" t="s">
        <v>114</v>
      </c>
      <c r="G10">
        <v>0.5</v>
      </c>
    </row>
    <row r="11" spans="2:7" x14ac:dyDescent="0.3">
      <c r="B11" t="s">
        <v>36</v>
      </c>
      <c r="C11" t="s">
        <v>35</v>
      </c>
      <c r="D11">
        <v>1.86</v>
      </c>
      <c r="F11" s="6" t="s">
        <v>58</v>
      </c>
      <c r="G11">
        <v>6.84</v>
      </c>
    </row>
    <row r="12" spans="2:7" x14ac:dyDescent="0.3">
      <c r="B12" t="s">
        <v>40</v>
      </c>
      <c r="C12" t="s">
        <v>25</v>
      </c>
      <c r="D12">
        <v>1.74</v>
      </c>
      <c r="F12" s="6" t="s">
        <v>23</v>
      </c>
      <c r="G12">
        <v>27.03</v>
      </c>
    </row>
    <row r="13" spans="2:7" x14ac:dyDescent="0.3">
      <c r="B13" t="s">
        <v>41</v>
      </c>
      <c r="C13" t="s">
        <v>23</v>
      </c>
      <c r="D13">
        <v>1.73</v>
      </c>
      <c r="F13" s="6" t="s">
        <v>47</v>
      </c>
      <c r="G13">
        <v>5.39</v>
      </c>
    </row>
    <row r="14" spans="2:7" x14ac:dyDescent="0.3">
      <c r="B14" t="s">
        <v>42</v>
      </c>
      <c r="C14" t="s">
        <v>43</v>
      </c>
      <c r="D14">
        <v>1.72</v>
      </c>
      <c r="F14" s="6" t="s">
        <v>25</v>
      </c>
      <c r="G14">
        <v>11.399999999999999</v>
      </c>
    </row>
    <row r="15" spans="2:7" x14ac:dyDescent="0.3">
      <c r="B15" t="s">
        <v>44</v>
      </c>
      <c r="C15" t="s">
        <v>23</v>
      </c>
      <c r="D15">
        <v>1.66</v>
      </c>
      <c r="F15" s="6" t="s">
        <v>106</v>
      </c>
      <c r="G15">
        <v>0.64</v>
      </c>
    </row>
    <row r="16" spans="2:7" x14ac:dyDescent="0.3">
      <c r="B16" t="s">
        <v>45</v>
      </c>
      <c r="C16" t="s">
        <v>23</v>
      </c>
      <c r="D16">
        <v>1.66</v>
      </c>
      <c r="F16" s="6" t="s">
        <v>43</v>
      </c>
      <c r="G16">
        <v>1.97</v>
      </c>
    </row>
    <row r="17" spans="2:7" x14ac:dyDescent="0.3">
      <c r="B17" t="s">
        <v>46</v>
      </c>
      <c r="C17" t="s">
        <v>47</v>
      </c>
      <c r="D17">
        <v>1.58</v>
      </c>
      <c r="F17" s="6" t="s">
        <v>66</v>
      </c>
      <c r="G17">
        <v>1.23</v>
      </c>
    </row>
    <row r="18" spans="2:7" x14ac:dyDescent="0.3">
      <c r="B18" t="s">
        <v>48</v>
      </c>
      <c r="C18" t="s">
        <v>25</v>
      </c>
      <c r="D18">
        <v>1.57</v>
      </c>
      <c r="F18" s="6" t="s">
        <v>56</v>
      </c>
      <c r="G18">
        <v>4.8100000000000005</v>
      </c>
    </row>
    <row r="19" spans="2:7" x14ac:dyDescent="0.3">
      <c r="B19" t="s">
        <v>49</v>
      </c>
      <c r="C19" t="s">
        <v>32</v>
      </c>
      <c r="D19">
        <v>1.56</v>
      </c>
      <c r="F19" s="6" t="s">
        <v>29</v>
      </c>
      <c r="G19">
        <v>4.55</v>
      </c>
    </row>
    <row r="20" spans="2:7" x14ac:dyDescent="0.3">
      <c r="B20" t="s">
        <v>50</v>
      </c>
      <c r="C20" t="s">
        <v>35</v>
      </c>
      <c r="D20">
        <v>1.52</v>
      </c>
      <c r="F20" s="6" t="s">
        <v>86</v>
      </c>
      <c r="G20">
        <v>0.88</v>
      </c>
    </row>
    <row r="21" spans="2:7" x14ac:dyDescent="0.3">
      <c r="B21" t="s">
        <v>51</v>
      </c>
      <c r="C21" t="s">
        <v>52</v>
      </c>
      <c r="D21">
        <v>1.49</v>
      </c>
      <c r="F21" s="6" t="s">
        <v>75</v>
      </c>
      <c r="G21">
        <v>1.9</v>
      </c>
    </row>
    <row r="22" spans="2:7" x14ac:dyDescent="0.3">
      <c r="B22" t="s">
        <v>53</v>
      </c>
      <c r="C22" t="s">
        <v>35</v>
      </c>
      <c r="D22">
        <v>1.41</v>
      </c>
      <c r="F22" s="6" t="s">
        <v>139</v>
      </c>
      <c r="G22">
        <v>98.13000000000001</v>
      </c>
    </row>
    <row r="23" spans="2:7" x14ac:dyDescent="0.3">
      <c r="B23" t="s">
        <v>54</v>
      </c>
      <c r="C23" t="s">
        <v>35</v>
      </c>
      <c r="D23">
        <v>1.39</v>
      </c>
    </row>
    <row r="24" spans="2:7" x14ac:dyDescent="0.3">
      <c r="B24" t="s">
        <v>55</v>
      </c>
      <c r="C24" t="s">
        <v>56</v>
      </c>
      <c r="D24">
        <v>1.36</v>
      </c>
    </row>
    <row r="25" spans="2:7" x14ac:dyDescent="0.3">
      <c r="B25" t="s">
        <v>57</v>
      </c>
      <c r="C25" t="s">
        <v>58</v>
      </c>
      <c r="D25">
        <v>1.35</v>
      </c>
    </row>
    <row r="26" spans="2:7" x14ac:dyDescent="0.3">
      <c r="B26" t="s">
        <v>59</v>
      </c>
      <c r="C26" t="s">
        <v>29</v>
      </c>
      <c r="D26">
        <v>1.33</v>
      </c>
    </row>
    <row r="27" spans="2:7" x14ac:dyDescent="0.3">
      <c r="B27" t="s">
        <v>60</v>
      </c>
      <c r="C27" t="s">
        <v>61</v>
      </c>
      <c r="D27">
        <v>1.31</v>
      </c>
    </row>
    <row r="28" spans="2:7" x14ac:dyDescent="0.3">
      <c r="B28" t="s">
        <v>62</v>
      </c>
      <c r="C28" t="s">
        <v>23</v>
      </c>
      <c r="D28">
        <v>1.29</v>
      </c>
    </row>
    <row r="29" spans="2:7" x14ac:dyDescent="0.3">
      <c r="B29" t="s">
        <v>63</v>
      </c>
      <c r="C29" t="s">
        <v>25</v>
      </c>
      <c r="D29">
        <v>1.26</v>
      </c>
    </row>
    <row r="30" spans="2:7" x14ac:dyDescent="0.3">
      <c r="B30" t="s">
        <v>64</v>
      </c>
      <c r="C30" t="s">
        <v>61</v>
      </c>
      <c r="D30">
        <v>1.26</v>
      </c>
    </row>
    <row r="31" spans="2:7" x14ac:dyDescent="0.3">
      <c r="B31" t="s">
        <v>65</v>
      </c>
      <c r="C31" t="s">
        <v>66</v>
      </c>
      <c r="D31">
        <v>1.23</v>
      </c>
    </row>
    <row r="32" spans="2:7" x14ac:dyDescent="0.3">
      <c r="B32" t="s">
        <v>67</v>
      </c>
      <c r="C32" t="s">
        <v>23</v>
      </c>
      <c r="D32">
        <v>1.22</v>
      </c>
    </row>
    <row r="33" spans="2:4" x14ac:dyDescent="0.3">
      <c r="B33" t="s">
        <v>68</v>
      </c>
      <c r="C33" t="s">
        <v>25</v>
      </c>
      <c r="D33">
        <v>1.17</v>
      </c>
    </row>
    <row r="34" spans="2:4" x14ac:dyDescent="0.3">
      <c r="B34" t="s">
        <v>69</v>
      </c>
      <c r="C34" t="s">
        <v>56</v>
      </c>
      <c r="D34">
        <v>1.1299999999999999</v>
      </c>
    </row>
    <row r="35" spans="2:4" x14ac:dyDescent="0.3">
      <c r="B35" t="s">
        <v>70</v>
      </c>
      <c r="C35" t="s">
        <v>58</v>
      </c>
      <c r="D35">
        <v>1.1000000000000001</v>
      </c>
    </row>
    <row r="36" spans="2:4" x14ac:dyDescent="0.3">
      <c r="B36" t="s">
        <v>71</v>
      </c>
      <c r="C36" t="s">
        <v>58</v>
      </c>
      <c r="D36">
        <v>1.0900000000000001</v>
      </c>
    </row>
    <row r="37" spans="2:4" x14ac:dyDescent="0.3">
      <c r="B37" t="s">
        <v>72</v>
      </c>
      <c r="C37" t="s">
        <v>56</v>
      </c>
      <c r="D37">
        <v>1.07</v>
      </c>
    </row>
    <row r="38" spans="2:4" x14ac:dyDescent="0.3">
      <c r="B38" t="s">
        <v>73</v>
      </c>
      <c r="C38" t="s">
        <v>25</v>
      </c>
      <c r="D38">
        <v>1.07</v>
      </c>
    </row>
    <row r="39" spans="2:4" x14ac:dyDescent="0.3">
      <c r="B39" t="s">
        <v>74</v>
      </c>
      <c r="C39" t="s">
        <v>75</v>
      </c>
      <c r="D39">
        <v>1.06</v>
      </c>
    </row>
    <row r="40" spans="2:4" x14ac:dyDescent="0.3">
      <c r="B40" t="s">
        <v>76</v>
      </c>
      <c r="C40" t="s">
        <v>35</v>
      </c>
      <c r="D40">
        <v>1.01</v>
      </c>
    </row>
    <row r="41" spans="2:4" x14ac:dyDescent="0.3">
      <c r="B41" t="s">
        <v>77</v>
      </c>
      <c r="C41" t="s">
        <v>32</v>
      </c>
      <c r="D41">
        <v>0.99</v>
      </c>
    </row>
    <row r="42" spans="2:4" x14ac:dyDescent="0.3">
      <c r="B42" t="s">
        <v>78</v>
      </c>
      <c r="C42" t="s">
        <v>61</v>
      </c>
      <c r="D42">
        <v>0.98</v>
      </c>
    </row>
    <row r="43" spans="2:4" x14ac:dyDescent="0.3">
      <c r="B43" t="s">
        <v>79</v>
      </c>
      <c r="C43" t="s">
        <v>47</v>
      </c>
      <c r="D43">
        <v>0.96</v>
      </c>
    </row>
    <row r="44" spans="2:4" x14ac:dyDescent="0.3">
      <c r="B44" t="s">
        <v>80</v>
      </c>
      <c r="C44" t="s">
        <v>58</v>
      </c>
      <c r="D44">
        <v>0.93</v>
      </c>
    </row>
    <row r="45" spans="2:4" x14ac:dyDescent="0.3">
      <c r="B45" t="s">
        <v>81</v>
      </c>
      <c r="C45" t="s">
        <v>58</v>
      </c>
      <c r="D45">
        <v>0.93</v>
      </c>
    </row>
    <row r="46" spans="2:4" x14ac:dyDescent="0.3">
      <c r="B46" t="s">
        <v>82</v>
      </c>
      <c r="C46" t="s">
        <v>23</v>
      </c>
      <c r="D46">
        <v>0.93</v>
      </c>
    </row>
    <row r="47" spans="2:4" x14ac:dyDescent="0.3">
      <c r="B47" t="s">
        <v>83</v>
      </c>
      <c r="C47" t="s">
        <v>23</v>
      </c>
      <c r="D47">
        <v>0.92</v>
      </c>
    </row>
    <row r="48" spans="2:4" x14ac:dyDescent="0.3">
      <c r="B48" t="s">
        <v>84</v>
      </c>
      <c r="C48" t="s">
        <v>23</v>
      </c>
      <c r="D48">
        <v>0.89</v>
      </c>
    </row>
    <row r="49" spans="2:4" x14ac:dyDescent="0.3">
      <c r="B49" t="s">
        <v>85</v>
      </c>
      <c r="C49" t="s">
        <v>86</v>
      </c>
      <c r="D49">
        <v>0.88</v>
      </c>
    </row>
    <row r="50" spans="2:4" x14ac:dyDescent="0.3">
      <c r="B50" t="s">
        <v>87</v>
      </c>
      <c r="C50" t="s">
        <v>52</v>
      </c>
      <c r="D50">
        <v>0.86</v>
      </c>
    </row>
    <row r="51" spans="2:4" x14ac:dyDescent="0.3">
      <c r="B51" t="s">
        <v>88</v>
      </c>
      <c r="C51" t="s">
        <v>23</v>
      </c>
      <c r="D51">
        <v>0.86</v>
      </c>
    </row>
    <row r="52" spans="2:4" x14ac:dyDescent="0.3">
      <c r="B52" t="s">
        <v>89</v>
      </c>
      <c r="C52" t="s">
        <v>35</v>
      </c>
      <c r="D52">
        <v>0.85</v>
      </c>
    </row>
    <row r="53" spans="2:4" x14ac:dyDescent="0.3">
      <c r="B53" t="s">
        <v>90</v>
      </c>
      <c r="C53" t="s">
        <v>75</v>
      </c>
      <c r="D53">
        <v>0.84</v>
      </c>
    </row>
    <row r="54" spans="2:4" x14ac:dyDescent="0.3">
      <c r="B54" t="s">
        <v>91</v>
      </c>
      <c r="C54" t="s">
        <v>35</v>
      </c>
      <c r="D54">
        <v>0.84</v>
      </c>
    </row>
    <row r="55" spans="2:4" x14ac:dyDescent="0.3">
      <c r="B55" t="s">
        <v>92</v>
      </c>
      <c r="C55" t="s">
        <v>23</v>
      </c>
      <c r="D55">
        <v>0.83</v>
      </c>
    </row>
    <row r="56" spans="2:4" x14ac:dyDescent="0.3">
      <c r="B56" t="s">
        <v>93</v>
      </c>
      <c r="C56" t="s">
        <v>47</v>
      </c>
      <c r="D56">
        <v>0.82</v>
      </c>
    </row>
    <row r="57" spans="2:4" x14ac:dyDescent="0.3">
      <c r="B57" t="s">
        <v>94</v>
      </c>
      <c r="C57" t="s">
        <v>35</v>
      </c>
      <c r="D57">
        <v>0.82</v>
      </c>
    </row>
    <row r="58" spans="2:4" x14ac:dyDescent="0.3">
      <c r="B58" t="s">
        <v>95</v>
      </c>
      <c r="C58" t="s">
        <v>61</v>
      </c>
      <c r="D58">
        <v>0.82</v>
      </c>
    </row>
    <row r="59" spans="2:4" x14ac:dyDescent="0.3">
      <c r="B59" t="s">
        <v>96</v>
      </c>
      <c r="C59" t="s">
        <v>23</v>
      </c>
      <c r="D59">
        <v>0.8</v>
      </c>
    </row>
    <row r="60" spans="2:4" x14ac:dyDescent="0.3">
      <c r="B60" t="s">
        <v>97</v>
      </c>
      <c r="C60" t="s">
        <v>29</v>
      </c>
      <c r="D60">
        <v>0.74</v>
      </c>
    </row>
    <row r="61" spans="2:4" x14ac:dyDescent="0.3">
      <c r="B61" t="s">
        <v>98</v>
      </c>
      <c r="C61" t="s">
        <v>32</v>
      </c>
      <c r="D61">
        <v>0.71</v>
      </c>
    </row>
    <row r="62" spans="2:4" x14ac:dyDescent="0.3">
      <c r="B62" t="s">
        <v>99</v>
      </c>
      <c r="C62" t="s">
        <v>56</v>
      </c>
      <c r="D62">
        <v>0.71</v>
      </c>
    </row>
    <row r="63" spans="2:4" x14ac:dyDescent="0.3">
      <c r="B63" t="s">
        <v>100</v>
      </c>
      <c r="C63" t="s">
        <v>58</v>
      </c>
      <c r="D63">
        <v>0.71</v>
      </c>
    </row>
    <row r="64" spans="2:4" x14ac:dyDescent="0.3">
      <c r="B64" t="s">
        <v>101</v>
      </c>
      <c r="C64" t="s">
        <v>32</v>
      </c>
      <c r="D64">
        <v>0.69</v>
      </c>
    </row>
    <row r="65" spans="2:4" x14ac:dyDescent="0.3">
      <c r="B65" t="s">
        <v>102</v>
      </c>
      <c r="C65" t="s">
        <v>103</v>
      </c>
      <c r="D65">
        <v>0.69</v>
      </c>
    </row>
    <row r="66" spans="2:4" x14ac:dyDescent="0.3">
      <c r="B66" t="s">
        <v>104</v>
      </c>
      <c r="C66" t="s">
        <v>25</v>
      </c>
      <c r="D66">
        <v>0.68</v>
      </c>
    </row>
    <row r="67" spans="2:4" x14ac:dyDescent="0.3">
      <c r="B67" t="s">
        <v>105</v>
      </c>
      <c r="C67" t="s">
        <v>106</v>
      </c>
      <c r="D67">
        <v>0.64</v>
      </c>
    </row>
    <row r="68" spans="2:4" x14ac:dyDescent="0.3">
      <c r="B68" t="s">
        <v>107</v>
      </c>
      <c r="C68" t="s">
        <v>35</v>
      </c>
      <c r="D68">
        <v>0.6</v>
      </c>
    </row>
    <row r="69" spans="2:4" x14ac:dyDescent="0.3">
      <c r="B69" t="s">
        <v>108</v>
      </c>
      <c r="C69" t="s">
        <v>61</v>
      </c>
      <c r="D69">
        <v>0.59</v>
      </c>
    </row>
    <row r="70" spans="2:4" x14ac:dyDescent="0.3">
      <c r="B70" t="s">
        <v>109</v>
      </c>
      <c r="C70" t="s">
        <v>47</v>
      </c>
      <c r="D70">
        <v>0.56999999999999995</v>
      </c>
    </row>
    <row r="71" spans="2:4" x14ac:dyDescent="0.3">
      <c r="B71" t="s">
        <v>110</v>
      </c>
      <c r="C71" t="s">
        <v>47</v>
      </c>
      <c r="D71">
        <v>0.54</v>
      </c>
    </row>
    <row r="72" spans="2:4" x14ac:dyDescent="0.3">
      <c r="B72" t="s">
        <v>111</v>
      </c>
      <c r="C72" t="s">
        <v>32</v>
      </c>
      <c r="D72">
        <v>0.52</v>
      </c>
    </row>
    <row r="73" spans="2:4" x14ac:dyDescent="0.3">
      <c r="B73" t="s">
        <v>112</v>
      </c>
      <c r="C73" t="s">
        <v>23</v>
      </c>
      <c r="D73">
        <v>0.51</v>
      </c>
    </row>
    <row r="74" spans="2:4" x14ac:dyDescent="0.3">
      <c r="B74" t="s">
        <v>113</v>
      </c>
      <c r="C74" t="s">
        <v>114</v>
      </c>
      <c r="D74">
        <v>0.5</v>
      </c>
    </row>
    <row r="75" spans="2:4" x14ac:dyDescent="0.3">
      <c r="B75" t="s">
        <v>115</v>
      </c>
      <c r="C75" t="s">
        <v>103</v>
      </c>
      <c r="D75">
        <v>0.49</v>
      </c>
    </row>
    <row r="76" spans="2:4" x14ac:dyDescent="0.3">
      <c r="B76" t="s">
        <v>116</v>
      </c>
      <c r="C76" t="s">
        <v>35</v>
      </c>
      <c r="D76">
        <v>0.48</v>
      </c>
    </row>
    <row r="77" spans="2:4" x14ac:dyDescent="0.3">
      <c r="B77" t="s">
        <v>117</v>
      </c>
      <c r="C77" t="s">
        <v>47</v>
      </c>
      <c r="D77">
        <v>0.47</v>
      </c>
    </row>
    <row r="78" spans="2:4" x14ac:dyDescent="0.3">
      <c r="B78" t="s">
        <v>118</v>
      </c>
      <c r="C78" t="s">
        <v>47</v>
      </c>
      <c r="D78">
        <v>0.45</v>
      </c>
    </row>
    <row r="79" spans="2:4" x14ac:dyDescent="0.3">
      <c r="B79" t="s">
        <v>119</v>
      </c>
      <c r="C79" t="s">
        <v>61</v>
      </c>
      <c r="D79">
        <v>0.44</v>
      </c>
    </row>
    <row r="80" spans="2:4" x14ac:dyDescent="0.3">
      <c r="B80" t="s">
        <v>120</v>
      </c>
      <c r="C80" t="s">
        <v>23</v>
      </c>
      <c r="D80">
        <v>0.44</v>
      </c>
    </row>
    <row r="81" spans="2:4" x14ac:dyDescent="0.3">
      <c r="B81" t="s">
        <v>121</v>
      </c>
      <c r="C81" t="s">
        <v>52</v>
      </c>
      <c r="D81">
        <v>0.41</v>
      </c>
    </row>
    <row r="82" spans="2:4" x14ac:dyDescent="0.3">
      <c r="B82" t="s">
        <v>122</v>
      </c>
      <c r="C82" t="s">
        <v>58</v>
      </c>
      <c r="D82">
        <v>0.4</v>
      </c>
    </row>
    <row r="83" spans="2:4" x14ac:dyDescent="0.3">
      <c r="B83" t="s">
        <v>123</v>
      </c>
      <c r="C83" t="s">
        <v>32</v>
      </c>
      <c r="D83">
        <v>0.38</v>
      </c>
    </row>
    <row r="84" spans="2:4" x14ac:dyDescent="0.3">
      <c r="B84" t="s">
        <v>124</v>
      </c>
      <c r="C84" t="s">
        <v>25</v>
      </c>
      <c r="D84">
        <v>0.37</v>
      </c>
    </row>
    <row r="85" spans="2:4" x14ac:dyDescent="0.3">
      <c r="B85" t="s">
        <v>125</v>
      </c>
      <c r="C85" t="s">
        <v>35</v>
      </c>
      <c r="D85">
        <v>0.36</v>
      </c>
    </row>
    <row r="86" spans="2:4" x14ac:dyDescent="0.3">
      <c r="B86" t="s">
        <v>126</v>
      </c>
      <c r="C86" t="s">
        <v>35</v>
      </c>
      <c r="D86">
        <v>0.36</v>
      </c>
    </row>
    <row r="87" spans="2:4" x14ac:dyDescent="0.3">
      <c r="B87" t="s">
        <v>127</v>
      </c>
      <c r="C87" t="s">
        <v>23</v>
      </c>
      <c r="D87">
        <v>0.35</v>
      </c>
    </row>
    <row r="88" spans="2:4" x14ac:dyDescent="0.3">
      <c r="B88" t="s">
        <v>128</v>
      </c>
      <c r="C88" t="s">
        <v>103</v>
      </c>
      <c r="D88">
        <v>0.34</v>
      </c>
    </row>
    <row r="89" spans="2:4" x14ac:dyDescent="0.3">
      <c r="B89" t="s">
        <v>129</v>
      </c>
      <c r="C89" t="s">
        <v>25</v>
      </c>
      <c r="D89">
        <v>0.34</v>
      </c>
    </row>
    <row r="90" spans="2:4" x14ac:dyDescent="0.3">
      <c r="B90" t="s">
        <v>130</v>
      </c>
      <c r="C90" t="s">
        <v>61</v>
      </c>
      <c r="D90">
        <v>0.34</v>
      </c>
    </row>
    <row r="91" spans="2:4" x14ac:dyDescent="0.3">
      <c r="B91" t="s">
        <v>131</v>
      </c>
      <c r="C91" t="s">
        <v>58</v>
      </c>
      <c r="D91">
        <v>0.33</v>
      </c>
    </row>
    <row r="92" spans="2:4" x14ac:dyDescent="0.3">
      <c r="B92" t="s">
        <v>132</v>
      </c>
      <c r="C92" t="s">
        <v>56</v>
      </c>
      <c r="D92">
        <v>0.32</v>
      </c>
    </row>
    <row r="93" spans="2:4" x14ac:dyDescent="0.3">
      <c r="B93" t="s">
        <v>133</v>
      </c>
      <c r="C93" t="s">
        <v>43</v>
      </c>
      <c r="D93">
        <v>0.25</v>
      </c>
    </row>
    <row r="94" spans="2:4" x14ac:dyDescent="0.3">
      <c r="B94" t="s">
        <v>134</v>
      </c>
      <c r="C94" t="s">
        <v>25</v>
      </c>
      <c r="D94">
        <v>0.24</v>
      </c>
    </row>
    <row r="95" spans="2:4" x14ac:dyDescent="0.3">
      <c r="B95" t="s">
        <v>135</v>
      </c>
      <c r="C95" t="s">
        <v>103</v>
      </c>
      <c r="D95">
        <v>0.22</v>
      </c>
    </row>
    <row r="96" spans="2:4" x14ac:dyDescent="0.3">
      <c r="B96" t="s">
        <v>136</v>
      </c>
      <c r="C96" t="s">
        <v>56</v>
      </c>
      <c r="D96">
        <v>0.22</v>
      </c>
    </row>
    <row r="97" spans="2:4" x14ac:dyDescent="0.3">
      <c r="B97" t="s">
        <v>137</v>
      </c>
      <c r="C97" t="s">
        <v>61</v>
      </c>
      <c r="D97">
        <v>0.19</v>
      </c>
    </row>
    <row r="98" spans="2:4" x14ac:dyDescent="0.3">
      <c r="B98" t="s">
        <v>138</v>
      </c>
      <c r="C98" t="s">
        <v>56</v>
      </c>
      <c r="D98">
        <v>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321CB-D641-4A5D-865D-691F421AFC41}">
  <dimension ref="B2:F19"/>
  <sheetViews>
    <sheetView showGridLines="0" workbookViewId="0">
      <selection activeCell="M27" sqref="M27"/>
    </sheetView>
  </sheetViews>
  <sheetFormatPr defaultRowHeight="14.4" x14ac:dyDescent="0.3"/>
  <cols>
    <col min="1" max="1" width="1.88671875" customWidth="1"/>
    <col min="2" max="2" width="13.77734375" customWidth="1"/>
    <col min="3" max="3" width="14.109375" customWidth="1"/>
  </cols>
  <sheetData>
    <row r="2" spans="2:6" x14ac:dyDescent="0.3">
      <c r="B2" s="3" t="s">
        <v>38</v>
      </c>
      <c r="C2" s="4" t="s">
        <v>142</v>
      </c>
    </row>
    <row r="3" spans="2:6" x14ac:dyDescent="0.3">
      <c r="B3" s="6" t="s">
        <v>23</v>
      </c>
      <c r="C3" s="7">
        <v>0.27029999999999998</v>
      </c>
    </row>
    <row r="4" spans="2:6" x14ac:dyDescent="0.3">
      <c r="B4" s="6" t="s">
        <v>35</v>
      </c>
      <c r="C4" s="7">
        <v>0.13449999999999998</v>
      </c>
    </row>
    <row r="5" spans="2:6" x14ac:dyDescent="0.3">
      <c r="B5" s="6" t="s">
        <v>25</v>
      </c>
      <c r="C5" s="7">
        <v>0.11399999999999999</v>
      </c>
    </row>
    <row r="6" spans="2:6" x14ac:dyDescent="0.3">
      <c r="B6" s="6" t="s">
        <v>32</v>
      </c>
      <c r="C6" s="7">
        <v>7.1099999999999983E-2</v>
      </c>
    </row>
    <row r="7" spans="2:6" x14ac:dyDescent="0.3">
      <c r="B7" s="6" t="s">
        <v>58</v>
      </c>
      <c r="C7" s="7">
        <v>6.8400000000000002E-2</v>
      </c>
    </row>
    <row r="8" spans="2:6" x14ac:dyDescent="0.3">
      <c r="B8" s="6" t="s">
        <v>61</v>
      </c>
      <c r="C8" s="7">
        <v>5.9300000000000005E-2</v>
      </c>
    </row>
    <row r="9" spans="2:6" x14ac:dyDescent="0.3">
      <c r="B9" s="6" t="s">
        <v>47</v>
      </c>
      <c r="C9" s="7">
        <v>5.3899999999999997E-2</v>
      </c>
      <c r="F9">
        <v>100</v>
      </c>
    </row>
    <row r="10" spans="2:6" x14ac:dyDescent="0.3">
      <c r="B10" s="6" t="s">
        <v>56</v>
      </c>
      <c r="C10" s="7">
        <v>4.8100000000000004E-2</v>
      </c>
    </row>
    <row r="11" spans="2:6" x14ac:dyDescent="0.3">
      <c r="B11" s="6" t="s">
        <v>29</v>
      </c>
      <c r="C11" s="7">
        <v>4.5499999999999999E-2</v>
      </c>
    </row>
    <row r="12" spans="2:6" x14ac:dyDescent="0.3">
      <c r="B12" s="6" t="s">
        <v>52</v>
      </c>
      <c r="C12" s="7">
        <v>2.7600000000000003E-2</v>
      </c>
    </row>
    <row r="13" spans="2:6" x14ac:dyDescent="0.3">
      <c r="B13" s="6" t="s">
        <v>43</v>
      </c>
      <c r="C13" s="7">
        <v>1.9699999999999999E-2</v>
      </c>
    </row>
    <row r="14" spans="2:6" x14ac:dyDescent="0.3">
      <c r="B14" s="6" t="s">
        <v>75</v>
      </c>
      <c r="C14" s="7">
        <v>1.9E-2</v>
      </c>
    </row>
    <row r="15" spans="2:6" x14ac:dyDescent="0.3">
      <c r="B15" s="6" t="s">
        <v>103</v>
      </c>
      <c r="C15" s="7">
        <v>1.7399999999999999E-2</v>
      </c>
    </row>
    <row r="16" spans="2:6" x14ac:dyDescent="0.3">
      <c r="B16" s="6" t="s">
        <v>66</v>
      </c>
      <c r="C16" s="7">
        <v>1.23E-2</v>
      </c>
    </row>
    <row r="17" spans="2:3" x14ac:dyDescent="0.3">
      <c r="B17" s="6" t="s">
        <v>86</v>
      </c>
      <c r="C17" s="7">
        <v>8.8000000000000005E-3</v>
      </c>
    </row>
    <row r="18" spans="2:3" x14ac:dyDescent="0.3">
      <c r="B18" s="6" t="s">
        <v>106</v>
      </c>
      <c r="C18" s="7">
        <v>6.4000000000000003E-3</v>
      </c>
    </row>
    <row r="19" spans="2:3" x14ac:dyDescent="0.3">
      <c r="B19" s="6" t="s">
        <v>114</v>
      </c>
      <c r="C19" s="7">
        <v>5.0000000000000001E-3</v>
      </c>
    </row>
  </sheetData>
  <autoFilter ref="B2:C19" xr:uid="{BBE321CB-D641-4A5D-865D-691F421AFC41}">
    <sortState xmlns:xlrd2="http://schemas.microsoft.com/office/spreadsheetml/2017/richdata2" ref="B3:C19">
      <sortCondition descending="1" ref="C2:C19"/>
    </sortState>
  </autoFilter>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76A11-DC7E-412B-AC11-9341E1EE76E3}">
  <dimension ref="B2:Q62"/>
  <sheetViews>
    <sheetView showGridLines="0" topLeftCell="A37" workbookViewId="0">
      <selection activeCell="G57" sqref="G57:G62"/>
    </sheetView>
  </sheetViews>
  <sheetFormatPr defaultRowHeight="14.4" x14ac:dyDescent="0.3"/>
  <cols>
    <col min="1" max="1" width="1.88671875" customWidth="1"/>
    <col min="2" max="2" width="11.6640625" bestFit="1" customWidth="1"/>
    <col min="3" max="3" width="12.88671875" bestFit="1" customWidth="1"/>
    <col min="4" max="4" width="13.5546875" bestFit="1" customWidth="1"/>
    <col min="5" max="5" width="12.77734375" bestFit="1" customWidth="1"/>
    <col min="6" max="6" width="7" bestFit="1" customWidth="1"/>
    <col min="7" max="8" width="10.88671875" bestFit="1" customWidth="1"/>
    <col min="9" max="10" width="10.109375" bestFit="1" customWidth="1"/>
    <col min="14" max="14" width="19.109375" bestFit="1" customWidth="1"/>
    <col min="15" max="15" width="10.33203125" bestFit="1" customWidth="1"/>
    <col min="16" max="16" width="11.6640625" bestFit="1" customWidth="1"/>
    <col min="17" max="17" width="9.109375" customWidth="1"/>
  </cols>
  <sheetData>
    <row r="2" spans="2:5" x14ac:dyDescent="0.3">
      <c r="B2" s="95" t="s">
        <v>146</v>
      </c>
      <c r="C2" s="95"/>
      <c r="D2" s="95"/>
      <c r="E2" s="95"/>
    </row>
    <row r="3" spans="2:5" x14ac:dyDescent="0.3">
      <c r="B3" s="14" t="s">
        <v>145</v>
      </c>
      <c r="C3" s="14" t="s">
        <v>148</v>
      </c>
      <c r="D3" s="14" t="s">
        <v>143</v>
      </c>
      <c r="E3" s="14" t="s">
        <v>144</v>
      </c>
    </row>
    <row r="4" spans="2:5" x14ac:dyDescent="0.3">
      <c r="B4" s="9">
        <v>1</v>
      </c>
      <c r="C4" s="10">
        <v>120000</v>
      </c>
      <c r="D4" s="10">
        <v>125636</v>
      </c>
      <c r="E4" s="11">
        <v>8.3099999999999993E-2</v>
      </c>
    </row>
    <row r="5" spans="2:5" x14ac:dyDescent="0.3">
      <c r="B5" s="9">
        <v>2</v>
      </c>
      <c r="C5" s="10">
        <v>240000</v>
      </c>
      <c r="D5" s="10">
        <v>265538</v>
      </c>
      <c r="E5" s="11">
        <v>0.10059999999999999</v>
      </c>
    </row>
    <row r="6" spans="2:5" x14ac:dyDescent="0.3">
      <c r="B6" s="9">
        <v>3</v>
      </c>
      <c r="C6" s="10">
        <v>360000</v>
      </c>
      <c r="D6" s="10">
        <v>479056</v>
      </c>
      <c r="E6" s="11">
        <v>0.19470000000000001</v>
      </c>
    </row>
    <row r="7" spans="2:5" x14ac:dyDescent="0.3">
      <c r="B7" s="9">
        <v>5</v>
      </c>
      <c r="C7" s="10">
        <v>600000</v>
      </c>
      <c r="D7" s="10">
        <v>1033168</v>
      </c>
      <c r="E7" s="11">
        <v>0.219</v>
      </c>
    </row>
    <row r="8" spans="2:5" x14ac:dyDescent="0.3">
      <c r="B8" s="9">
        <v>7</v>
      </c>
      <c r="C8" s="10">
        <v>840000</v>
      </c>
      <c r="D8" s="10">
        <v>2007828</v>
      </c>
      <c r="E8" s="11">
        <v>0.24490000000000001</v>
      </c>
    </row>
    <row r="9" spans="2:5" x14ac:dyDescent="0.3">
      <c r="B9" s="9">
        <v>10</v>
      </c>
      <c r="C9" s="10">
        <v>1200000</v>
      </c>
      <c r="D9" s="10">
        <v>3692981</v>
      </c>
      <c r="E9" s="11">
        <v>0.21299999999999999</v>
      </c>
    </row>
    <row r="11" spans="2:5" x14ac:dyDescent="0.3">
      <c r="B11" s="95" t="s">
        <v>149</v>
      </c>
      <c r="C11" s="95"/>
      <c r="D11" s="95"/>
      <c r="E11" s="95"/>
    </row>
    <row r="12" spans="2:5" x14ac:dyDescent="0.3">
      <c r="B12" s="14" t="s">
        <v>145</v>
      </c>
      <c r="C12" s="14" t="s">
        <v>148</v>
      </c>
      <c r="D12" s="14" t="s">
        <v>143</v>
      </c>
      <c r="E12" s="14" t="s">
        <v>144</v>
      </c>
    </row>
    <row r="13" spans="2:5" x14ac:dyDescent="0.3">
      <c r="B13" s="9">
        <v>1</v>
      </c>
      <c r="C13" s="10">
        <v>120000</v>
      </c>
      <c r="D13" s="10">
        <v>125636</v>
      </c>
      <c r="E13" s="11">
        <v>8.3099999999999993E-2</v>
      </c>
    </row>
    <row r="14" spans="2:5" x14ac:dyDescent="0.3">
      <c r="B14" s="9">
        <v>2</v>
      </c>
      <c r="C14" s="13" t="s">
        <v>147</v>
      </c>
      <c r="D14" s="10">
        <v>278102</v>
      </c>
      <c r="E14" s="11">
        <v>0.1003</v>
      </c>
    </row>
    <row r="15" spans="2:5" x14ac:dyDescent="0.3">
      <c r="B15" s="9">
        <v>3</v>
      </c>
      <c r="C15" s="12">
        <v>397200</v>
      </c>
      <c r="D15" s="10">
        <v>519430</v>
      </c>
      <c r="E15" s="11">
        <v>0.19009999999999999</v>
      </c>
    </row>
    <row r="16" spans="2:5" x14ac:dyDescent="0.3">
      <c r="B16" s="9">
        <v>5</v>
      </c>
      <c r="C16" s="12">
        <v>732612</v>
      </c>
      <c r="D16" s="10">
        <v>1207847</v>
      </c>
      <c r="E16" s="11">
        <v>0.21629999999999999</v>
      </c>
    </row>
    <row r="17" spans="2:17" x14ac:dyDescent="0.3">
      <c r="B17" s="9">
        <v>7</v>
      </c>
      <c r="C17" s="12">
        <v>1138461</v>
      </c>
      <c r="D17" s="10">
        <v>2484871</v>
      </c>
      <c r="E17" s="11">
        <v>0.24210000000000001</v>
      </c>
    </row>
    <row r="18" spans="2:17" x14ac:dyDescent="0.3">
      <c r="B18" s="9">
        <v>10</v>
      </c>
      <c r="C18" s="10">
        <v>1912921</v>
      </c>
      <c r="D18" s="2">
        <v>5146326</v>
      </c>
      <c r="E18" s="11">
        <v>0.21579999999999999</v>
      </c>
    </row>
    <row r="32" spans="2:17" ht="25.8" customHeight="1" x14ac:dyDescent="0.3">
      <c r="C32" s="37" t="s">
        <v>145</v>
      </c>
      <c r="D32" s="37" t="s">
        <v>148</v>
      </c>
      <c r="E32" s="37" t="s">
        <v>143</v>
      </c>
      <c r="F32" s="37" t="s">
        <v>161</v>
      </c>
      <c r="G32" s="37" t="s">
        <v>162</v>
      </c>
      <c r="H32" s="37" t="s">
        <v>162</v>
      </c>
      <c r="I32" s="37" t="s">
        <v>163</v>
      </c>
      <c r="J32" s="37" t="s">
        <v>163</v>
      </c>
      <c r="N32" s="59"/>
      <c r="O32" s="59" t="s">
        <v>189</v>
      </c>
      <c r="P32" s="59" t="s">
        <v>190</v>
      </c>
      <c r="Q32" s="59" t="s">
        <v>191</v>
      </c>
    </row>
    <row r="33" spans="3:17" x14ac:dyDescent="0.3">
      <c r="C33" s="15">
        <v>1</v>
      </c>
      <c r="D33" s="16">
        <v>120000</v>
      </c>
      <c r="E33" s="16">
        <v>125636</v>
      </c>
      <c r="F33" s="8">
        <v>8.3099999999999993E-2</v>
      </c>
      <c r="G33">
        <v>126921</v>
      </c>
      <c r="H33" s="8">
        <v>0.1087</v>
      </c>
      <c r="I33">
        <v>127051</v>
      </c>
      <c r="J33" s="8">
        <v>0.1108</v>
      </c>
      <c r="K33" s="38"/>
      <c r="N33" s="60" t="s">
        <v>182</v>
      </c>
      <c r="O33" s="60">
        <v>24.26</v>
      </c>
      <c r="P33" s="60">
        <v>27.33</v>
      </c>
      <c r="Q33" s="60">
        <v>20.37</v>
      </c>
    </row>
    <row r="34" spans="3:17" x14ac:dyDescent="0.3">
      <c r="C34" s="15">
        <v>2</v>
      </c>
      <c r="D34" s="16">
        <v>240000</v>
      </c>
      <c r="E34" s="16">
        <v>265538</v>
      </c>
      <c r="F34" s="8">
        <v>0.10059999999999999</v>
      </c>
      <c r="G34">
        <v>263191</v>
      </c>
      <c r="H34" s="8">
        <v>9.1499999999999998E-2</v>
      </c>
      <c r="I34">
        <v>262574</v>
      </c>
      <c r="J34" s="8">
        <v>8.9099999999999999E-2</v>
      </c>
      <c r="K34" s="38"/>
      <c r="N34" s="60" t="s">
        <v>183</v>
      </c>
      <c r="O34" s="60">
        <v>3.42</v>
      </c>
      <c r="P34" s="60">
        <v>4</v>
      </c>
      <c r="Q34" s="60">
        <v>2.94</v>
      </c>
    </row>
    <row r="35" spans="3:17" x14ac:dyDescent="0.3">
      <c r="C35" s="15">
        <v>3</v>
      </c>
      <c r="D35" s="16">
        <v>360000</v>
      </c>
      <c r="E35" s="16">
        <v>479056</v>
      </c>
      <c r="F35" s="8">
        <v>0.19470000000000001</v>
      </c>
      <c r="G35">
        <v>467027</v>
      </c>
      <c r="H35" s="8">
        <v>0.17660000000000001</v>
      </c>
      <c r="I35">
        <v>427889</v>
      </c>
      <c r="J35" s="8">
        <v>0.11550000000000001</v>
      </c>
      <c r="N35" s="60" t="s">
        <v>184</v>
      </c>
      <c r="O35" s="60">
        <v>2.77</v>
      </c>
      <c r="P35" s="60">
        <v>3.08</v>
      </c>
      <c r="Q35" s="60">
        <v>2.64</v>
      </c>
    </row>
    <row r="36" spans="3:17" x14ac:dyDescent="0.3">
      <c r="C36" s="15">
        <v>4</v>
      </c>
      <c r="D36" s="16">
        <v>480000</v>
      </c>
      <c r="E36" s="16">
        <v>731297</v>
      </c>
      <c r="F36" s="8">
        <v>0.21429999999999999</v>
      </c>
      <c r="G36">
        <v>704945</v>
      </c>
      <c r="H36" s="8">
        <v>0.19500000000000001</v>
      </c>
      <c r="I36">
        <v>611071</v>
      </c>
      <c r="J36" s="8">
        <v>0.12089999999999999</v>
      </c>
      <c r="N36" s="60" t="s">
        <v>185</v>
      </c>
      <c r="O36" s="60">
        <v>21.88</v>
      </c>
      <c r="P36" s="60">
        <v>23.23</v>
      </c>
      <c r="Q36" s="60">
        <v>16.16</v>
      </c>
    </row>
    <row r="37" spans="3:17" x14ac:dyDescent="0.3">
      <c r="C37" s="15">
        <v>5</v>
      </c>
      <c r="D37" s="16">
        <v>600000</v>
      </c>
      <c r="E37" s="16">
        <v>1033168</v>
      </c>
      <c r="F37" s="8">
        <v>0.219</v>
      </c>
      <c r="G37">
        <v>981590</v>
      </c>
      <c r="H37" s="8">
        <v>0.19789999999999999</v>
      </c>
      <c r="I37">
        <v>812532</v>
      </c>
      <c r="J37" s="8">
        <v>0.1208</v>
      </c>
      <c r="N37" s="60" t="s">
        <v>186</v>
      </c>
      <c r="O37" s="60">
        <v>0.96</v>
      </c>
      <c r="P37" s="60">
        <v>0.85</v>
      </c>
      <c r="Q37" s="60">
        <v>1.37</v>
      </c>
    </row>
    <row r="38" spans="3:17" ht="14.4" customHeight="1" x14ac:dyDescent="0.3">
      <c r="N38" s="60" t="s">
        <v>187</v>
      </c>
      <c r="O38" s="60">
        <v>13.09</v>
      </c>
      <c r="P38" s="60">
        <v>14.92</v>
      </c>
      <c r="Q38" s="60">
        <v>12.62</v>
      </c>
    </row>
    <row r="39" spans="3:17" x14ac:dyDescent="0.3">
      <c r="C39" s="37" t="s">
        <v>145</v>
      </c>
      <c r="D39" s="37" t="s">
        <v>148</v>
      </c>
      <c r="E39" s="37" t="s">
        <v>143</v>
      </c>
      <c r="F39" s="37" t="s">
        <v>161</v>
      </c>
      <c r="G39" s="37" t="s">
        <v>162</v>
      </c>
      <c r="H39" s="37" t="s">
        <v>162</v>
      </c>
      <c r="I39" s="37" t="s">
        <v>163</v>
      </c>
      <c r="J39" s="37" t="s">
        <v>163</v>
      </c>
      <c r="N39" s="60" t="s">
        <v>188</v>
      </c>
      <c r="O39" s="60">
        <v>15.73</v>
      </c>
      <c r="P39" s="60">
        <v>14.73</v>
      </c>
      <c r="Q39" s="60">
        <v>16.04</v>
      </c>
    </row>
    <row r="40" spans="3:17" x14ac:dyDescent="0.3">
      <c r="C40" s="15">
        <v>1</v>
      </c>
      <c r="D40" s="16">
        <f>D33</f>
        <v>120000</v>
      </c>
      <c r="E40" s="16">
        <f>D13</f>
        <v>125636</v>
      </c>
      <c r="F40" s="7">
        <f>E13</f>
        <v>8.3099999999999993E-2</v>
      </c>
      <c r="G40" s="16">
        <v>116039</v>
      </c>
      <c r="H40" s="8">
        <v>-6.0299999999999999E-2</v>
      </c>
      <c r="I40" s="16">
        <v>125264</v>
      </c>
      <c r="J40" s="8">
        <v>8.1900000000000001E-2</v>
      </c>
    </row>
    <row r="41" spans="3:17" x14ac:dyDescent="0.3">
      <c r="C41" s="15">
        <v>2</v>
      </c>
      <c r="D41" s="16">
        <v>240000</v>
      </c>
      <c r="E41" s="16">
        <f t="shared" ref="E41:F44" si="0">D14</f>
        <v>278102</v>
      </c>
      <c r="F41" s="7">
        <f t="shared" si="0"/>
        <v>0.1003</v>
      </c>
      <c r="G41" s="16">
        <v>253329</v>
      </c>
      <c r="H41" s="8">
        <v>1.2999999999999999E-3</v>
      </c>
      <c r="I41" s="16">
        <v>269715</v>
      </c>
      <c r="J41" s="8">
        <v>6.8199999999999997E-2</v>
      </c>
    </row>
    <row r="42" spans="3:17" x14ac:dyDescent="0.3">
      <c r="C42" s="15">
        <v>3</v>
      </c>
      <c r="D42" s="16">
        <v>360000</v>
      </c>
      <c r="E42" s="16">
        <f t="shared" si="0"/>
        <v>519430</v>
      </c>
      <c r="F42" s="7">
        <f t="shared" si="0"/>
        <v>0.19009999999999999</v>
      </c>
      <c r="G42" s="16">
        <v>475820</v>
      </c>
      <c r="H42" s="8">
        <v>0.12590000000000001</v>
      </c>
      <c r="I42" s="16">
        <v>456293</v>
      </c>
      <c r="J42" s="8">
        <v>9.6000000000000002E-2</v>
      </c>
    </row>
    <row r="43" spans="3:17" x14ac:dyDescent="0.3">
      <c r="C43" s="15">
        <v>4</v>
      </c>
      <c r="D43" s="16">
        <v>480000</v>
      </c>
      <c r="E43" s="16">
        <f t="shared" si="0"/>
        <v>1207847</v>
      </c>
      <c r="F43" s="7">
        <f t="shared" si="0"/>
        <v>0.21629999999999999</v>
      </c>
      <c r="G43" s="16">
        <v>773305</v>
      </c>
      <c r="H43" s="8">
        <v>0.1754</v>
      </c>
      <c r="I43" s="16">
        <v>682434</v>
      </c>
      <c r="J43" s="8">
        <v>0.1074</v>
      </c>
    </row>
    <row r="44" spans="3:17" ht="13.8" customHeight="1" x14ac:dyDescent="0.3">
      <c r="C44" s="15">
        <v>5</v>
      </c>
      <c r="D44" s="16">
        <v>600000</v>
      </c>
      <c r="E44" s="16">
        <f t="shared" si="0"/>
        <v>2484871</v>
      </c>
      <c r="F44" s="7">
        <f t="shared" si="0"/>
        <v>0.24210000000000001</v>
      </c>
      <c r="G44" s="16">
        <v>1164420</v>
      </c>
      <c r="H44" s="8">
        <v>0.2</v>
      </c>
      <c r="I44" s="16">
        <v>942815</v>
      </c>
      <c r="J44" s="8">
        <v>0.108</v>
      </c>
      <c r="N44" s="59" t="s">
        <v>190</v>
      </c>
    </row>
    <row r="45" spans="3:17" ht="13.8" customHeight="1" x14ac:dyDescent="0.3">
      <c r="N45" s="60" t="s">
        <v>197</v>
      </c>
    </row>
    <row r="46" spans="3:17" ht="13.8" customHeight="1" x14ac:dyDescent="0.3">
      <c r="N46" s="60" t="s">
        <v>197</v>
      </c>
    </row>
    <row r="47" spans="3:17" ht="13.8" customHeight="1" x14ac:dyDescent="0.3">
      <c r="N47" s="60" t="s">
        <v>197</v>
      </c>
    </row>
    <row r="48" spans="3:17" ht="13.8" customHeight="1" x14ac:dyDescent="0.3">
      <c r="N48" s="60" t="s">
        <v>197</v>
      </c>
    </row>
    <row r="49" spans="3:14" ht="13.8" customHeight="1" x14ac:dyDescent="0.3">
      <c r="N49" s="60" t="s">
        <v>202</v>
      </c>
    </row>
    <row r="50" spans="3:14" x14ac:dyDescent="0.3">
      <c r="N50" s="60" t="s">
        <v>202</v>
      </c>
    </row>
    <row r="51" spans="3:14" x14ac:dyDescent="0.3">
      <c r="N51" s="60" t="s">
        <v>202</v>
      </c>
    </row>
    <row r="52" spans="3:14" x14ac:dyDescent="0.3">
      <c r="N52" s="60" t="s">
        <v>202</v>
      </c>
    </row>
    <row r="53" spans="3:14" ht="13.8" customHeight="1" x14ac:dyDescent="0.3">
      <c r="N53" s="60" t="s">
        <v>205</v>
      </c>
    </row>
    <row r="54" spans="3:14" x14ac:dyDescent="0.3">
      <c r="N54" s="60" t="s">
        <v>205</v>
      </c>
    </row>
    <row r="55" spans="3:14" x14ac:dyDescent="0.3">
      <c r="N55" s="60" t="s">
        <v>205</v>
      </c>
    </row>
    <row r="57" spans="3:14" x14ac:dyDescent="0.3">
      <c r="C57" t="s">
        <v>209</v>
      </c>
      <c r="G57" s="7">
        <v>0.18181818181818188</v>
      </c>
    </row>
    <row r="58" spans="3:14" x14ac:dyDescent="0.3">
      <c r="C58" t="s">
        <v>210</v>
      </c>
      <c r="G58" s="7">
        <v>0.14555421913121558</v>
      </c>
    </row>
    <row r="59" spans="3:14" x14ac:dyDescent="0.3">
      <c r="C59" t="s">
        <v>211</v>
      </c>
      <c r="G59" s="7">
        <v>0.11300811568701419</v>
      </c>
    </row>
    <row r="60" spans="3:14" x14ac:dyDescent="0.3">
      <c r="C60" t="s">
        <v>212</v>
      </c>
      <c r="G60" s="7">
        <v>7.1817552083333291E-2</v>
      </c>
    </row>
    <row r="61" spans="3:14" x14ac:dyDescent="0.3">
      <c r="C61" t="s">
        <v>213</v>
      </c>
      <c r="G61" s="7">
        <v>4.2660714285714274E-2</v>
      </c>
    </row>
    <row r="62" spans="3:14" x14ac:dyDescent="0.3">
      <c r="C62" t="s">
        <v>214</v>
      </c>
      <c r="G62" s="7">
        <v>1.9607843137254832E-2</v>
      </c>
    </row>
  </sheetData>
  <sortState xmlns:xlrd2="http://schemas.microsoft.com/office/spreadsheetml/2017/richdata2" ref="B13:E17">
    <sortCondition ref="B13:B17"/>
  </sortState>
  <mergeCells count="2">
    <mergeCell ref="B2:E2"/>
    <mergeCell ref="B11:E1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38B8F-91E9-4D6E-83BE-1FE00CE8D4AA}">
  <dimension ref="A1:I104"/>
  <sheetViews>
    <sheetView zoomScale="112" zoomScaleNormal="112" workbookViewId="0">
      <selection activeCell="A3" sqref="A3:A11"/>
    </sheetView>
  </sheetViews>
  <sheetFormatPr defaultColWidth="46.44140625" defaultRowHeight="14.4" x14ac:dyDescent="0.3"/>
  <sheetData>
    <row r="1" spans="1:9" x14ac:dyDescent="0.3">
      <c r="I1" t="s">
        <v>318</v>
      </c>
    </row>
    <row r="2" spans="1:9" x14ac:dyDescent="0.3">
      <c r="A2" t="s">
        <v>317</v>
      </c>
    </row>
    <row r="3" spans="1:9" x14ac:dyDescent="0.3">
      <c r="A3" t="s">
        <v>218</v>
      </c>
      <c r="B3">
        <v>3.42</v>
      </c>
      <c r="C3">
        <v>5100000</v>
      </c>
      <c r="D3">
        <v>3.19</v>
      </c>
      <c r="E3">
        <v>5100000</v>
      </c>
      <c r="F3">
        <v>3.52</v>
      </c>
      <c r="G3">
        <v>5100000</v>
      </c>
      <c r="H3">
        <f t="shared" ref="H3:H34" si="0">E3-G3</f>
        <v>0</v>
      </c>
      <c r="I3" s="7">
        <f t="shared" ref="I3:I34" si="1">E3/G3-1</f>
        <v>0</v>
      </c>
    </row>
    <row r="4" spans="1:9" x14ac:dyDescent="0.3">
      <c r="A4" t="s">
        <v>219</v>
      </c>
      <c r="B4">
        <v>2.83</v>
      </c>
      <c r="C4">
        <v>41000000</v>
      </c>
      <c r="D4">
        <v>2.6</v>
      </c>
      <c r="E4">
        <v>41000000</v>
      </c>
      <c r="F4">
        <v>2.52</v>
      </c>
      <c r="G4">
        <v>41000000</v>
      </c>
      <c r="H4">
        <f t="shared" si="0"/>
        <v>0</v>
      </c>
      <c r="I4" s="7">
        <f t="shared" si="1"/>
        <v>0</v>
      </c>
    </row>
    <row r="5" spans="1:9" x14ac:dyDescent="0.3">
      <c r="A5" t="s">
        <v>220</v>
      </c>
      <c r="B5">
        <v>2.76</v>
      </c>
      <c r="C5">
        <v>13542021</v>
      </c>
      <c r="D5">
        <v>2.84</v>
      </c>
      <c r="E5">
        <v>13542021</v>
      </c>
      <c r="F5">
        <v>2.96</v>
      </c>
      <c r="G5">
        <v>13542021</v>
      </c>
      <c r="H5">
        <f t="shared" si="0"/>
        <v>0</v>
      </c>
      <c r="I5" s="7">
        <f t="shared" si="1"/>
        <v>0</v>
      </c>
    </row>
    <row r="6" spans="1:9" x14ac:dyDescent="0.3">
      <c r="A6" t="s">
        <v>221</v>
      </c>
      <c r="B6">
        <v>2.59</v>
      </c>
      <c r="C6">
        <v>11000000</v>
      </c>
      <c r="D6">
        <v>2.6</v>
      </c>
      <c r="E6">
        <v>11000000</v>
      </c>
      <c r="F6">
        <v>2.5</v>
      </c>
      <c r="G6">
        <v>11000000</v>
      </c>
      <c r="H6">
        <f t="shared" si="0"/>
        <v>0</v>
      </c>
      <c r="I6" s="7">
        <f t="shared" si="1"/>
        <v>0</v>
      </c>
    </row>
    <row r="7" spans="1:9" x14ac:dyDescent="0.3">
      <c r="A7" t="s">
        <v>222</v>
      </c>
      <c r="B7">
        <v>2.38</v>
      </c>
      <c r="C7">
        <v>1644232</v>
      </c>
      <c r="D7">
        <v>2.4500000000000002</v>
      </c>
      <c r="E7">
        <v>1644232</v>
      </c>
      <c r="F7">
        <v>2.48</v>
      </c>
      <c r="G7">
        <v>1644232</v>
      </c>
      <c r="H7">
        <f t="shared" si="0"/>
        <v>0</v>
      </c>
      <c r="I7" s="7">
        <f t="shared" si="1"/>
        <v>0</v>
      </c>
    </row>
    <row r="8" spans="1:9" x14ac:dyDescent="0.3">
      <c r="A8" t="s">
        <v>223</v>
      </c>
      <c r="B8">
        <v>2.2000000000000002</v>
      </c>
      <c r="C8">
        <v>6909978</v>
      </c>
      <c r="D8">
        <v>2.23</v>
      </c>
      <c r="E8">
        <v>6909978</v>
      </c>
      <c r="F8">
        <v>2.2599999999999998</v>
      </c>
      <c r="G8">
        <v>6909978</v>
      </c>
      <c r="H8">
        <f t="shared" si="0"/>
        <v>0</v>
      </c>
      <c r="I8" s="7">
        <f t="shared" si="1"/>
        <v>0</v>
      </c>
    </row>
    <row r="9" spans="1:9" x14ac:dyDescent="0.3">
      <c r="A9" t="s">
        <v>224</v>
      </c>
      <c r="B9">
        <v>2.12</v>
      </c>
      <c r="C9">
        <v>45000000</v>
      </c>
      <c r="D9">
        <v>2.21</v>
      </c>
      <c r="E9">
        <v>51844304</v>
      </c>
      <c r="F9">
        <v>1.95</v>
      </c>
      <c r="G9">
        <v>51844304</v>
      </c>
      <c r="H9">
        <f t="shared" si="0"/>
        <v>0</v>
      </c>
      <c r="I9" s="7">
        <f t="shared" si="1"/>
        <v>0</v>
      </c>
    </row>
    <row r="10" spans="1:9" x14ac:dyDescent="0.3">
      <c r="A10" t="s">
        <v>225</v>
      </c>
      <c r="B10">
        <v>2.12</v>
      </c>
      <c r="C10">
        <v>5335000</v>
      </c>
      <c r="D10">
        <v>2.2999999999999998</v>
      </c>
      <c r="E10">
        <v>5335000</v>
      </c>
      <c r="F10">
        <v>2.34</v>
      </c>
      <c r="G10">
        <v>5335000</v>
      </c>
      <c r="H10">
        <f t="shared" si="0"/>
        <v>0</v>
      </c>
      <c r="I10" s="7">
        <f t="shared" si="1"/>
        <v>0</v>
      </c>
    </row>
    <row r="11" spans="1:9" x14ac:dyDescent="0.3">
      <c r="A11" t="s">
        <v>226</v>
      </c>
      <c r="B11">
        <v>1.97</v>
      </c>
      <c r="C11">
        <v>5100000</v>
      </c>
      <c r="D11">
        <v>2.02</v>
      </c>
      <c r="E11">
        <v>5100000</v>
      </c>
      <c r="F11">
        <v>2.06</v>
      </c>
      <c r="G11">
        <v>5100000</v>
      </c>
      <c r="H11">
        <f t="shared" si="0"/>
        <v>0</v>
      </c>
      <c r="I11" s="7">
        <f t="shared" si="1"/>
        <v>0</v>
      </c>
    </row>
    <row r="12" spans="1:9" x14ac:dyDescent="0.3">
      <c r="A12" t="s">
        <v>316</v>
      </c>
      <c r="B12">
        <v>1.92</v>
      </c>
      <c r="C12">
        <v>18000000</v>
      </c>
      <c r="D12">
        <v>1.79</v>
      </c>
      <c r="E12">
        <v>18000000</v>
      </c>
      <c r="F12">
        <v>1.72</v>
      </c>
      <c r="G12">
        <v>18000000</v>
      </c>
      <c r="H12">
        <f t="shared" si="0"/>
        <v>0</v>
      </c>
      <c r="I12" s="7">
        <f t="shared" si="1"/>
        <v>0</v>
      </c>
    </row>
    <row r="13" spans="1:9" x14ac:dyDescent="0.3">
      <c r="A13" t="s">
        <v>315</v>
      </c>
      <c r="B13">
        <v>1.88</v>
      </c>
      <c r="C13">
        <v>5444007</v>
      </c>
      <c r="D13">
        <v>1.9</v>
      </c>
      <c r="E13">
        <v>5444007</v>
      </c>
      <c r="F13">
        <v>1.86</v>
      </c>
      <c r="G13">
        <v>5444007</v>
      </c>
      <c r="H13">
        <f t="shared" si="0"/>
        <v>0</v>
      </c>
      <c r="I13" s="7">
        <f t="shared" si="1"/>
        <v>0</v>
      </c>
    </row>
    <row r="14" spans="1:9" x14ac:dyDescent="0.3">
      <c r="A14" t="s">
        <v>45</v>
      </c>
      <c r="B14">
        <v>1.75</v>
      </c>
      <c r="C14">
        <v>8000000</v>
      </c>
      <c r="D14">
        <v>1.59</v>
      </c>
      <c r="E14">
        <v>8000000</v>
      </c>
      <c r="F14">
        <v>1.66</v>
      </c>
      <c r="G14">
        <v>8000000</v>
      </c>
      <c r="H14">
        <f t="shared" si="0"/>
        <v>0</v>
      </c>
      <c r="I14" s="7">
        <f t="shared" si="1"/>
        <v>0</v>
      </c>
    </row>
    <row r="15" spans="1:9" x14ac:dyDescent="0.3">
      <c r="A15" t="s">
        <v>314</v>
      </c>
      <c r="B15">
        <v>1.66</v>
      </c>
      <c r="C15">
        <v>14700000</v>
      </c>
      <c r="D15">
        <v>1.6</v>
      </c>
      <c r="E15">
        <v>13800000</v>
      </c>
      <c r="F15">
        <v>1.58</v>
      </c>
      <c r="G15">
        <v>13800000</v>
      </c>
      <c r="H15">
        <f t="shared" si="0"/>
        <v>0</v>
      </c>
      <c r="I15" s="7">
        <f t="shared" si="1"/>
        <v>0</v>
      </c>
    </row>
    <row r="16" spans="1:9" x14ac:dyDescent="0.3">
      <c r="A16" t="s">
        <v>313</v>
      </c>
      <c r="B16">
        <v>1.58</v>
      </c>
      <c r="C16">
        <v>1163397</v>
      </c>
      <c r="D16">
        <v>1.52</v>
      </c>
      <c r="E16">
        <v>1163397</v>
      </c>
      <c r="F16">
        <v>1.57</v>
      </c>
      <c r="G16">
        <v>1163397</v>
      </c>
      <c r="H16">
        <f t="shared" si="0"/>
        <v>0</v>
      </c>
      <c r="I16" s="7">
        <f t="shared" si="1"/>
        <v>0</v>
      </c>
    </row>
    <row r="17" spans="1:9" x14ac:dyDescent="0.3">
      <c r="A17" t="s">
        <v>312</v>
      </c>
      <c r="B17">
        <v>1.5</v>
      </c>
      <c r="C17">
        <v>5500000</v>
      </c>
      <c r="D17">
        <v>1.7</v>
      </c>
      <c r="E17">
        <v>5500000</v>
      </c>
      <c r="F17">
        <v>1.73</v>
      </c>
      <c r="G17">
        <v>5500000</v>
      </c>
      <c r="H17">
        <f t="shared" si="0"/>
        <v>0</v>
      </c>
      <c r="I17" s="7">
        <f t="shared" si="1"/>
        <v>0</v>
      </c>
    </row>
    <row r="18" spans="1:9" x14ac:dyDescent="0.3">
      <c r="A18" t="s">
        <v>311</v>
      </c>
      <c r="B18">
        <v>1.47</v>
      </c>
      <c r="C18">
        <v>3000000</v>
      </c>
      <c r="D18">
        <v>1.36</v>
      </c>
      <c r="E18">
        <v>3000000</v>
      </c>
      <c r="F18">
        <v>1.23</v>
      </c>
      <c r="G18">
        <v>3000000</v>
      </c>
      <c r="H18">
        <f t="shared" si="0"/>
        <v>0</v>
      </c>
      <c r="I18" s="7">
        <f t="shared" si="1"/>
        <v>0</v>
      </c>
    </row>
    <row r="19" spans="1:9" x14ac:dyDescent="0.3">
      <c r="A19" t="s">
        <v>310</v>
      </c>
      <c r="B19">
        <v>1.44</v>
      </c>
      <c r="C19">
        <v>6300000</v>
      </c>
      <c r="D19">
        <v>1.56</v>
      </c>
      <c r="E19">
        <v>6300000</v>
      </c>
      <c r="F19">
        <v>1.74</v>
      </c>
      <c r="G19">
        <v>6300000</v>
      </c>
      <c r="H19">
        <f t="shared" si="0"/>
        <v>0</v>
      </c>
      <c r="I19" s="7">
        <f t="shared" si="1"/>
        <v>0</v>
      </c>
    </row>
    <row r="20" spans="1:9" x14ac:dyDescent="0.3">
      <c r="A20" t="s">
        <v>309</v>
      </c>
      <c r="B20">
        <v>1.4</v>
      </c>
      <c r="C20">
        <v>2500000</v>
      </c>
      <c r="D20">
        <v>1.42</v>
      </c>
      <c r="E20">
        <v>2290000</v>
      </c>
      <c r="F20">
        <v>1.52</v>
      </c>
      <c r="G20">
        <v>2290000</v>
      </c>
      <c r="H20">
        <f t="shared" si="0"/>
        <v>0</v>
      </c>
      <c r="I20" s="7">
        <f t="shared" si="1"/>
        <v>0</v>
      </c>
    </row>
    <row r="21" spans="1:9" x14ac:dyDescent="0.3">
      <c r="A21" t="s">
        <v>308</v>
      </c>
      <c r="B21">
        <v>1.32</v>
      </c>
      <c r="C21">
        <v>2552382</v>
      </c>
      <c r="D21">
        <v>1.28</v>
      </c>
      <c r="E21">
        <v>2552382</v>
      </c>
      <c r="F21">
        <v>1.26</v>
      </c>
      <c r="G21">
        <v>2552382</v>
      </c>
      <c r="H21">
        <f t="shared" si="0"/>
        <v>0</v>
      </c>
      <c r="I21" s="7">
        <f t="shared" si="1"/>
        <v>0</v>
      </c>
    </row>
    <row r="22" spans="1:9" x14ac:dyDescent="0.3">
      <c r="A22" t="s">
        <v>307</v>
      </c>
      <c r="B22">
        <v>1.31</v>
      </c>
      <c r="C22">
        <v>3727054</v>
      </c>
      <c r="D22">
        <v>1.41</v>
      </c>
      <c r="E22">
        <v>3727054</v>
      </c>
      <c r="F22">
        <v>1.49</v>
      </c>
      <c r="G22">
        <v>3727054</v>
      </c>
      <c r="H22">
        <f t="shared" si="0"/>
        <v>0</v>
      </c>
      <c r="I22" s="7">
        <f t="shared" si="1"/>
        <v>0</v>
      </c>
    </row>
    <row r="23" spans="1:9" x14ac:dyDescent="0.3">
      <c r="A23" t="s">
        <v>306</v>
      </c>
      <c r="B23">
        <v>1.28</v>
      </c>
      <c r="C23">
        <v>1300000</v>
      </c>
      <c r="D23">
        <v>1.37</v>
      </c>
      <c r="E23">
        <v>1300000</v>
      </c>
      <c r="F23">
        <v>1.39</v>
      </c>
      <c r="G23">
        <v>1300000</v>
      </c>
      <c r="H23">
        <f t="shared" si="0"/>
        <v>0</v>
      </c>
      <c r="I23" s="7">
        <f t="shared" si="1"/>
        <v>0</v>
      </c>
    </row>
    <row r="24" spans="1:9" x14ac:dyDescent="0.3">
      <c r="A24" t="s">
        <v>305</v>
      </c>
      <c r="B24">
        <v>1.25</v>
      </c>
      <c r="C24">
        <v>19000000</v>
      </c>
      <c r="D24">
        <v>1.25</v>
      </c>
      <c r="E24">
        <v>19000000</v>
      </c>
      <c r="F24">
        <v>1.36</v>
      </c>
      <c r="G24">
        <v>19000000</v>
      </c>
      <c r="H24">
        <f t="shared" si="0"/>
        <v>0</v>
      </c>
      <c r="I24" s="7">
        <f t="shared" si="1"/>
        <v>0</v>
      </c>
    </row>
    <row r="25" spans="1:9" x14ac:dyDescent="0.3">
      <c r="A25" t="s">
        <v>304</v>
      </c>
      <c r="B25">
        <v>1.24</v>
      </c>
      <c r="C25">
        <v>2800000</v>
      </c>
      <c r="D25">
        <v>1.1399999999999999</v>
      </c>
      <c r="E25">
        <v>2800000</v>
      </c>
      <c r="F25">
        <v>1.17</v>
      </c>
      <c r="G25">
        <v>2800000</v>
      </c>
      <c r="H25">
        <f t="shared" si="0"/>
        <v>0</v>
      </c>
      <c r="I25" s="7">
        <f t="shared" si="1"/>
        <v>0</v>
      </c>
    </row>
    <row r="26" spans="1:9" x14ac:dyDescent="0.3">
      <c r="A26" t="s">
        <v>303</v>
      </c>
      <c r="B26">
        <v>1.22</v>
      </c>
      <c r="C26">
        <v>340000</v>
      </c>
      <c r="D26">
        <v>1.1399999999999999</v>
      </c>
      <c r="E26">
        <v>322550</v>
      </c>
      <c r="F26">
        <v>1.01</v>
      </c>
      <c r="G26">
        <v>322550</v>
      </c>
      <c r="H26">
        <f t="shared" si="0"/>
        <v>0</v>
      </c>
      <c r="I26" s="7">
        <f t="shared" si="1"/>
        <v>0</v>
      </c>
    </row>
    <row r="27" spans="1:9" x14ac:dyDescent="0.3">
      <c r="A27" t="s">
        <v>302</v>
      </c>
      <c r="B27">
        <v>1.2</v>
      </c>
      <c r="C27">
        <v>7050000</v>
      </c>
      <c r="D27">
        <v>1.28</v>
      </c>
      <c r="E27">
        <v>7050000</v>
      </c>
      <c r="F27">
        <v>1.29</v>
      </c>
      <c r="G27">
        <v>7050000</v>
      </c>
      <c r="H27">
        <f t="shared" si="0"/>
        <v>0</v>
      </c>
      <c r="I27" s="7">
        <f t="shared" si="1"/>
        <v>0</v>
      </c>
    </row>
    <row r="28" spans="1:9" x14ac:dyDescent="0.3">
      <c r="A28" t="s">
        <v>301</v>
      </c>
      <c r="B28">
        <v>1.19</v>
      </c>
      <c r="C28">
        <v>14000000</v>
      </c>
      <c r="D28">
        <v>1.1000000000000001</v>
      </c>
      <c r="E28">
        <v>14000000</v>
      </c>
      <c r="F28">
        <v>1.0900000000000001</v>
      </c>
      <c r="G28">
        <v>14000000</v>
      </c>
      <c r="H28">
        <f t="shared" si="0"/>
        <v>0</v>
      </c>
      <c r="I28" s="7">
        <f t="shared" si="1"/>
        <v>0</v>
      </c>
    </row>
    <row r="29" spans="1:9" x14ac:dyDescent="0.3">
      <c r="A29" t="s">
        <v>300</v>
      </c>
      <c r="B29">
        <v>1.17</v>
      </c>
      <c r="C29">
        <v>3508679</v>
      </c>
      <c r="D29">
        <v>1.0900000000000001</v>
      </c>
      <c r="E29">
        <v>3508679</v>
      </c>
      <c r="F29">
        <v>1.1000000000000001</v>
      </c>
      <c r="G29">
        <v>3508679</v>
      </c>
      <c r="H29">
        <f t="shared" si="0"/>
        <v>0</v>
      </c>
      <c r="I29" s="7">
        <f t="shared" si="1"/>
        <v>0</v>
      </c>
    </row>
    <row r="30" spans="1:9" x14ac:dyDescent="0.3">
      <c r="A30" t="s">
        <v>299</v>
      </c>
      <c r="B30">
        <v>1.17</v>
      </c>
      <c r="C30">
        <v>2701000</v>
      </c>
      <c r="D30">
        <v>1.21</v>
      </c>
      <c r="E30">
        <v>2600522</v>
      </c>
      <c r="F30">
        <v>1.22</v>
      </c>
      <c r="G30">
        <v>2600522</v>
      </c>
      <c r="H30">
        <f t="shared" si="0"/>
        <v>0</v>
      </c>
      <c r="I30" s="7">
        <f t="shared" si="1"/>
        <v>0</v>
      </c>
    </row>
    <row r="31" spans="1:9" x14ac:dyDescent="0.3">
      <c r="A31" t="s">
        <v>298</v>
      </c>
      <c r="B31">
        <v>1.1599999999999999</v>
      </c>
      <c r="C31">
        <v>18380010</v>
      </c>
      <c r="D31">
        <v>1.24</v>
      </c>
      <c r="E31">
        <v>18184846</v>
      </c>
      <c r="F31">
        <v>1.26</v>
      </c>
      <c r="G31">
        <v>18184846</v>
      </c>
      <c r="H31">
        <f t="shared" si="0"/>
        <v>0</v>
      </c>
      <c r="I31" s="7">
        <f t="shared" si="1"/>
        <v>0</v>
      </c>
    </row>
    <row r="32" spans="1:9" x14ac:dyDescent="0.3">
      <c r="A32" t="s">
        <v>297</v>
      </c>
      <c r="B32">
        <v>1.1299999999999999</v>
      </c>
      <c r="C32">
        <v>450000</v>
      </c>
      <c r="D32">
        <v>1.29</v>
      </c>
      <c r="E32">
        <v>450000</v>
      </c>
      <c r="F32">
        <v>1.56</v>
      </c>
      <c r="G32">
        <v>450000</v>
      </c>
      <c r="H32">
        <f t="shared" si="0"/>
        <v>0</v>
      </c>
      <c r="I32" s="7">
        <f t="shared" si="1"/>
        <v>0</v>
      </c>
    </row>
    <row r="33" spans="1:9" x14ac:dyDescent="0.3">
      <c r="A33" t="s">
        <v>296</v>
      </c>
      <c r="B33">
        <v>1.0900000000000001</v>
      </c>
      <c r="C33">
        <v>3100000</v>
      </c>
      <c r="D33">
        <v>1.04</v>
      </c>
      <c r="E33">
        <v>3100000</v>
      </c>
      <c r="F33">
        <v>1.07</v>
      </c>
      <c r="G33">
        <v>3100000</v>
      </c>
      <c r="H33">
        <f t="shared" si="0"/>
        <v>0</v>
      </c>
      <c r="I33" s="7">
        <f t="shared" si="1"/>
        <v>0</v>
      </c>
    </row>
    <row r="34" spans="1:9" x14ac:dyDescent="0.3">
      <c r="A34" t="s">
        <v>295</v>
      </c>
      <c r="B34">
        <v>1.08</v>
      </c>
      <c r="C34">
        <v>10000000</v>
      </c>
      <c r="D34">
        <v>0.95</v>
      </c>
      <c r="E34">
        <v>10000000</v>
      </c>
      <c r="F34">
        <v>0.98</v>
      </c>
      <c r="G34">
        <v>10000000</v>
      </c>
      <c r="H34">
        <f t="shared" si="0"/>
        <v>0</v>
      </c>
      <c r="I34" s="7">
        <f t="shared" si="1"/>
        <v>0</v>
      </c>
    </row>
    <row r="35" spans="1:9" x14ac:dyDescent="0.3">
      <c r="A35" t="s">
        <v>294</v>
      </c>
      <c r="B35">
        <v>1.05</v>
      </c>
      <c r="C35">
        <v>34896768</v>
      </c>
      <c r="D35">
        <v>1.1299999999999999</v>
      </c>
      <c r="E35">
        <v>34896768</v>
      </c>
      <c r="F35">
        <v>1.1299999999999999</v>
      </c>
      <c r="G35">
        <v>34896768</v>
      </c>
      <c r="H35">
        <f t="shared" ref="H35:H66" si="2">E35-G35</f>
        <v>0</v>
      </c>
      <c r="I35" s="7">
        <f t="shared" ref="I35:I66" si="3">E35/G35-1</f>
        <v>0</v>
      </c>
    </row>
    <row r="36" spans="1:9" x14ac:dyDescent="0.3">
      <c r="A36" t="s">
        <v>293</v>
      </c>
      <c r="B36">
        <v>1.03</v>
      </c>
      <c r="C36">
        <v>1221885</v>
      </c>
      <c r="D36">
        <v>0.97</v>
      </c>
      <c r="E36">
        <v>1221885</v>
      </c>
      <c r="F36">
        <v>0.99</v>
      </c>
      <c r="G36">
        <v>1221885</v>
      </c>
      <c r="H36">
        <f t="shared" si="2"/>
        <v>0</v>
      </c>
      <c r="I36" s="7">
        <f t="shared" si="3"/>
        <v>0</v>
      </c>
    </row>
    <row r="37" spans="1:9" x14ac:dyDescent="0.3">
      <c r="A37" t="s">
        <v>292</v>
      </c>
      <c r="B37">
        <v>1</v>
      </c>
      <c r="C37">
        <v>16096145</v>
      </c>
      <c r="D37">
        <v>0.96</v>
      </c>
      <c r="E37">
        <v>16096145</v>
      </c>
      <c r="F37">
        <v>0.93</v>
      </c>
      <c r="G37">
        <v>16096145</v>
      </c>
      <c r="H37">
        <f t="shared" si="2"/>
        <v>0</v>
      </c>
      <c r="I37" s="7">
        <f t="shared" si="3"/>
        <v>0</v>
      </c>
    </row>
    <row r="38" spans="1:9" x14ac:dyDescent="0.3">
      <c r="A38" t="s">
        <v>291</v>
      </c>
      <c r="B38">
        <v>0.97</v>
      </c>
      <c r="C38">
        <v>6000000</v>
      </c>
      <c r="D38">
        <v>1.05</v>
      </c>
      <c r="E38">
        <v>6000000</v>
      </c>
      <c r="F38">
        <v>1.06</v>
      </c>
      <c r="G38">
        <v>6000000</v>
      </c>
      <c r="H38">
        <f t="shared" si="2"/>
        <v>0</v>
      </c>
      <c r="I38" s="7">
        <f t="shared" si="3"/>
        <v>0</v>
      </c>
    </row>
    <row r="39" spans="1:9" x14ac:dyDescent="0.3">
      <c r="A39" t="s">
        <v>290</v>
      </c>
      <c r="B39">
        <v>0.96</v>
      </c>
      <c r="C39">
        <v>16800000</v>
      </c>
      <c r="D39">
        <v>1.06</v>
      </c>
      <c r="E39">
        <v>16800000</v>
      </c>
      <c r="F39">
        <v>1.07</v>
      </c>
      <c r="G39">
        <v>16800000</v>
      </c>
      <c r="H39">
        <f t="shared" si="2"/>
        <v>0</v>
      </c>
      <c r="I39" s="7">
        <f t="shared" si="3"/>
        <v>0</v>
      </c>
    </row>
    <row r="40" spans="1:9" x14ac:dyDescent="0.3">
      <c r="A40" t="s">
        <v>289</v>
      </c>
      <c r="B40">
        <v>0.95</v>
      </c>
      <c r="C40">
        <v>22000000</v>
      </c>
      <c r="D40">
        <v>0.8</v>
      </c>
      <c r="E40">
        <v>22000000</v>
      </c>
      <c r="F40">
        <v>0.8</v>
      </c>
      <c r="G40">
        <v>22000000</v>
      </c>
      <c r="H40">
        <f t="shared" si="2"/>
        <v>0</v>
      </c>
      <c r="I40" s="7">
        <f t="shared" si="3"/>
        <v>0</v>
      </c>
    </row>
    <row r="41" spans="1:9" x14ac:dyDescent="0.3">
      <c r="A41" t="s">
        <v>288</v>
      </c>
      <c r="B41">
        <v>0.94</v>
      </c>
      <c r="C41">
        <v>10499100</v>
      </c>
      <c r="D41">
        <v>1</v>
      </c>
      <c r="E41">
        <v>10499100</v>
      </c>
      <c r="F41">
        <v>0.93</v>
      </c>
      <c r="G41">
        <v>10499100</v>
      </c>
      <c r="H41">
        <f t="shared" si="2"/>
        <v>0</v>
      </c>
      <c r="I41" s="7">
        <f t="shared" si="3"/>
        <v>0</v>
      </c>
    </row>
    <row r="42" spans="1:9" x14ac:dyDescent="0.3">
      <c r="A42" t="s">
        <v>287</v>
      </c>
      <c r="B42">
        <v>0.89</v>
      </c>
      <c r="C42">
        <v>1800000</v>
      </c>
      <c r="D42">
        <v>0.91</v>
      </c>
      <c r="E42">
        <v>1800000</v>
      </c>
      <c r="F42">
        <v>0.86</v>
      </c>
      <c r="G42">
        <v>1800000</v>
      </c>
      <c r="H42">
        <f t="shared" si="2"/>
        <v>0</v>
      </c>
      <c r="I42" s="7">
        <f t="shared" si="3"/>
        <v>0</v>
      </c>
    </row>
    <row r="43" spans="1:9" x14ac:dyDescent="0.3">
      <c r="A43" t="s">
        <v>286</v>
      </c>
      <c r="B43">
        <v>0.88</v>
      </c>
      <c r="C43">
        <v>8588252</v>
      </c>
      <c r="D43">
        <v>1.02</v>
      </c>
      <c r="E43">
        <v>8588252</v>
      </c>
      <c r="F43">
        <v>0.93</v>
      </c>
      <c r="G43">
        <v>8588252</v>
      </c>
      <c r="H43">
        <f t="shared" si="2"/>
        <v>0</v>
      </c>
      <c r="I43" s="7">
        <f t="shared" si="3"/>
        <v>0</v>
      </c>
    </row>
    <row r="44" spans="1:9" x14ac:dyDescent="0.3">
      <c r="A44" t="s">
        <v>285</v>
      </c>
      <c r="B44">
        <v>0.88</v>
      </c>
      <c r="C44">
        <v>1452632</v>
      </c>
      <c r="D44">
        <v>0.92</v>
      </c>
      <c r="E44">
        <v>1452632</v>
      </c>
      <c r="F44">
        <v>0.92</v>
      </c>
      <c r="G44">
        <v>1452632</v>
      </c>
      <c r="H44">
        <f t="shared" si="2"/>
        <v>0</v>
      </c>
      <c r="I44" s="7">
        <f t="shared" si="3"/>
        <v>0</v>
      </c>
    </row>
    <row r="45" spans="1:9" x14ac:dyDescent="0.3">
      <c r="A45" t="s">
        <v>284</v>
      </c>
      <c r="B45">
        <v>0.87</v>
      </c>
      <c r="C45">
        <v>10000000</v>
      </c>
      <c r="D45">
        <v>0.85</v>
      </c>
      <c r="E45">
        <v>10000000</v>
      </c>
      <c r="F45">
        <v>0.86</v>
      </c>
      <c r="G45">
        <v>10000000</v>
      </c>
      <c r="H45">
        <f t="shared" si="2"/>
        <v>0</v>
      </c>
      <c r="I45" s="7">
        <f t="shared" si="3"/>
        <v>0</v>
      </c>
    </row>
    <row r="46" spans="1:9" x14ac:dyDescent="0.3">
      <c r="A46" t="s">
        <v>283</v>
      </c>
      <c r="B46">
        <v>0.84</v>
      </c>
      <c r="C46">
        <v>1384041</v>
      </c>
      <c r="D46">
        <v>0.77</v>
      </c>
      <c r="E46">
        <v>1384041</v>
      </c>
      <c r="F46">
        <v>0.89</v>
      </c>
      <c r="G46">
        <v>1384041</v>
      </c>
      <c r="H46">
        <f t="shared" si="2"/>
        <v>0</v>
      </c>
      <c r="I46" s="7">
        <f t="shared" si="3"/>
        <v>0</v>
      </c>
    </row>
    <row r="47" spans="1:9" x14ac:dyDescent="0.3">
      <c r="A47" t="s">
        <v>282</v>
      </c>
      <c r="B47">
        <v>0.8</v>
      </c>
      <c r="C47">
        <v>1528905</v>
      </c>
      <c r="D47">
        <v>0.83</v>
      </c>
      <c r="E47">
        <v>1528905</v>
      </c>
      <c r="F47">
        <v>0.85</v>
      </c>
      <c r="G47">
        <v>1528905</v>
      </c>
      <c r="H47">
        <f t="shared" si="2"/>
        <v>0</v>
      </c>
      <c r="I47" s="7">
        <f t="shared" si="3"/>
        <v>0</v>
      </c>
    </row>
    <row r="48" spans="1:9" x14ac:dyDescent="0.3">
      <c r="A48" t="s">
        <v>281</v>
      </c>
      <c r="B48">
        <v>0.8</v>
      </c>
      <c r="C48">
        <v>6700000</v>
      </c>
      <c r="D48">
        <v>0.89</v>
      </c>
      <c r="E48">
        <v>6700000</v>
      </c>
      <c r="F48">
        <v>0.96</v>
      </c>
      <c r="G48">
        <v>6700000</v>
      </c>
      <c r="H48">
        <f t="shared" si="2"/>
        <v>0</v>
      </c>
      <c r="I48" s="7">
        <f t="shared" si="3"/>
        <v>0</v>
      </c>
    </row>
    <row r="49" spans="1:9" x14ac:dyDescent="0.3">
      <c r="A49" t="s">
        <v>280</v>
      </c>
      <c r="B49">
        <v>0.79</v>
      </c>
      <c r="C49">
        <v>7709482</v>
      </c>
      <c r="D49">
        <v>0.74</v>
      </c>
      <c r="E49">
        <v>7570971</v>
      </c>
      <c r="F49">
        <v>0.71</v>
      </c>
      <c r="G49">
        <v>7570971</v>
      </c>
      <c r="H49">
        <f t="shared" si="2"/>
        <v>0</v>
      </c>
      <c r="I49" s="7">
        <f t="shared" si="3"/>
        <v>0</v>
      </c>
    </row>
    <row r="50" spans="1:9" x14ac:dyDescent="0.3">
      <c r="A50" t="s">
        <v>279</v>
      </c>
      <c r="B50">
        <v>0.78</v>
      </c>
      <c r="C50">
        <v>901000</v>
      </c>
      <c r="D50">
        <v>0.83</v>
      </c>
      <c r="E50">
        <v>901000</v>
      </c>
      <c r="F50">
        <v>0.84</v>
      </c>
      <c r="G50">
        <v>901000</v>
      </c>
      <c r="H50">
        <f t="shared" si="2"/>
        <v>0</v>
      </c>
      <c r="I50" s="7">
        <f t="shared" si="3"/>
        <v>0</v>
      </c>
    </row>
    <row r="51" spans="1:9" x14ac:dyDescent="0.3">
      <c r="A51" t="s">
        <v>278</v>
      </c>
      <c r="B51">
        <v>0.76</v>
      </c>
      <c r="C51">
        <v>96000</v>
      </c>
      <c r="D51">
        <v>0.82</v>
      </c>
      <c r="E51">
        <v>96000</v>
      </c>
      <c r="F51">
        <v>0.88</v>
      </c>
      <c r="G51">
        <v>96000</v>
      </c>
      <c r="H51">
        <f t="shared" si="2"/>
        <v>0</v>
      </c>
      <c r="I51" s="7">
        <f t="shared" si="3"/>
        <v>0</v>
      </c>
    </row>
    <row r="52" spans="1:9" x14ac:dyDescent="0.3">
      <c r="A52" t="s">
        <v>277</v>
      </c>
      <c r="B52">
        <v>0.76</v>
      </c>
      <c r="C52">
        <v>1300000</v>
      </c>
      <c r="D52">
        <v>0.8</v>
      </c>
      <c r="E52">
        <v>1300000</v>
      </c>
      <c r="F52">
        <v>0.82</v>
      </c>
      <c r="G52">
        <v>1300000</v>
      </c>
      <c r="H52">
        <f t="shared" si="2"/>
        <v>0</v>
      </c>
      <c r="I52" s="7">
        <f t="shared" si="3"/>
        <v>0</v>
      </c>
    </row>
    <row r="53" spans="1:9" x14ac:dyDescent="0.3">
      <c r="A53" t="s">
        <v>276</v>
      </c>
      <c r="B53">
        <v>0.75</v>
      </c>
      <c r="C53">
        <v>1480100</v>
      </c>
      <c r="D53">
        <v>0.67</v>
      </c>
      <c r="E53">
        <v>1279034</v>
      </c>
      <c r="F53">
        <v>0.68</v>
      </c>
      <c r="G53">
        <v>1279034</v>
      </c>
      <c r="H53">
        <f t="shared" si="2"/>
        <v>0</v>
      </c>
      <c r="I53" s="7">
        <f t="shared" si="3"/>
        <v>0</v>
      </c>
    </row>
    <row r="54" spans="1:9" x14ac:dyDescent="0.3">
      <c r="A54" t="s">
        <v>275</v>
      </c>
      <c r="B54">
        <v>0.73</v>
      </c>
      <c r="C54">
        <v>1686498</v>
      </c>
      <c r="D54">
        <v>0.69</v>
      </c>
      <c r="E54">
        <v>1686498</v>
      </c>
      <c r="F54">
        <v>0.71</v>
      </c>
      <c r="G54">
        <v>1686498</v>
      </c>
      <c r="H54">
        <f t="shared" si="2"/>
        <v>0</v>
      </c>
      <c r="I54" s="7">
        <f t="shared" si="3"/>
        <v>0</v>
      </c>
    </row>
    <row r="55" spans="1:9" x14ac:dyDescent="0.3">
      <c r="A55" t="s">
        <v>274</v>
      </c>
      <c r="B55">
        <v>0.73</v>
      </c>
      <c r="C55">
        <v>800000</v>
      </c>
      <c r="D55">
        <v>0.71</v>
      </c>
      <c r="E55">
        <v>700000</v>
      </c>
      <c r="F55">
        <v>0.71</v>
      </c>
      <c r="G55">
        <v>700000</v>
      </c>
      <c r="H55">
        <f t="shared" si="2"/>
        <v>0</v>
      </c>
      <c r="I55" s="7">
        <f t="shared" si="3"/>
        <v>0</v>
      </c>
    </row>
    <row r="56" spans="1:9" x14ac:dyDescent="0.3">
      <c r="A56" t="s">
        <v>273</v>
      </c>
      <c r="B56">
        <v>0.73</v>
      </c>
      <c r="C56">
        <v>1100000</v>
      </c>
      <c r="D56">
        <v>0.73</v>
      </c>
      <c r="E56">
        <v>1100000</v>
      </c>
      <c r="F56">
        <v>0.74</v>
      </c>
      <c r="G56">
        <v>1100000</v>
      </c>
      <c r="H56">
        <f t="shared" si="2"/>
        <v>0</v>
      </c>
      <c r="I56" s="7">
        <f t="shared" si="3"/>
        <v>0</v>
      </c>
    </row>
    <row r="57" spans="1:9" x14ac:dyDescent="0.3">
      <c r="A57" t="s">
        <v>272</v>
      </c>
      <c r="B57">
        <v>0.72</v>
      </c>
      <c r="C57">
        <v>2050000</v>
      </c>
      <c r="D57">
        <v>0.79</v>
      </c>
      <c r="E57">
        <v>2050000</v>
      </c>
      <c r="F57">
        <v>0.82</v>
      </c>
      <c r="G57">
        <v>2050000</v>
      </c>
      <c r="H57">
        <f t="shared" si="2"/>
        <v>0</v>
      </c>
      <c r="I57" s="7">
        <f t="shared" si="3"/>
        <v>0</v>
      </c>
    </row>
    <row r="58" spans="1:9" x14ac:dyDescent="0.3">
      <c r="A58" t="s">
        <v>271</v>
      </c>
      <c r="B58">
        <v>0.71</v>
      </c>
      <c r="C58">
        <v>5101605</v>
      </c>
      <c r="D58">
        <v>0.78</v>
      </c>
      <c r="E58">
        <v>5101605</v>
      </c>
      <c r="F58">
        <v>0.82</v>
      </c>
      <c r="G58">
        <v>5101605</v>
      </c>
      <c r="H58">
        <f t="shared" si="2"/>
        <v>0</v>
      </c>
      <c r="I58" s="7">
        <f t="shared" si="3"/>
        <v>0</v>
      </c>
    </row>
    <row r="59" spans="1:9" x14ac:dyDescent="0.3">
      <c r="A59" t="s">
        <v>270</v>
      </c>
      <c r="B59">
        <v>0.71</v>
      </c>
      <c r="C59">
        <v>2000000</v>
      </c>
      <c r="D59">
        <v>0.66</v>
      </c>
      <c r="E59">
        <v>2000000</v>
      </c>
      <c r="F59">
        <v>0.69</v>
      </c>
      <c r="G59">
        <v>2000000</v>
      </c>
      <c r="H59">
        <f t="shared" si="2"/>
        <v>0</v>
      </c>
      <c r="I59" s="7">
        <f t="shared" si="3"/>
        <v>0</v>
      </c>
    </row>
    <row r="60" spans="1:9" x14ac:dyDescent="0.3">
      <c r="A60" t="s">
        <v>269</v>
      </c>
      <c r="B60">
        <v>0.66</v>
      </c>
      <c r="C60">
        <v>1210830</v>
      </c>
      <c r="D60">
        <v>0.65</v>
      </c>
      <c r="E60">
        <v>1210830</v>
      </c>
      <c r="F60">
        <v>0.69</v>
      </c>
      <c r="G60">
        <v>1210830</v>
      </c>
      <c r="H60">
        <f t="shared" si="2"/>
        <v>0</v>
      </c>
      <c r="I60" s="7">
        <f t="shared" si="3"/>
        <v>0</v>
      </c>
    </row>
    <row r="61" spans="1:9" x14ac:dyDescent="0.3">
      <c r="A61" t="s">
        <v>268</v>
      </c>
      <c r="B61">
        <v>0.66</v>
      </c>
      <c r="C61">
        <v>600000</v>
      </c>
      <c r="D61">
        <v>0.72</v>
      </c>
      <c r="E61">
        <v>600000</v>
      </c>
      <c r="F61">
        <v>0.84</v>
      </c>
      <c r="G61">
        <v>600000</v>
      </c>
      <c r="H61">
        <f t="shared" si="2"/>
        <v>0</v>
      </c>
      <c r="I61" s="7">
        <f t="shared" si="3"/>
        <v>0</v>
      </c>
    </row>
    <row r="62" spans="1:9" x14ac:dyDescent="0.3">
      <c r="A62" t="s">
        <v>267</v>
      </c>
      <c r="B62">
        <v>0.63</v>
      </c>
      <c r="C62">
        <v>5235275</v>
      </c>
      <c r="D62">
        <v>0.65</v>
      </c>
      <c r="E62">
        <v>5235275</v>
      </c>
      <c r="F62">
        <v>0.64</v>
      </c>
      <c r="G62">
        <v>5235275</v>
      </c>
      <c r="H62">
        <f t="shared" si="2"/>
        <v>0</v>
      </c>
      <c r="I62" s="7">
        <f t="shared" si="3"/>
        <v>0</v>
      </c>
    </row>
    <row r="63" spans="1:9" x14ac:dyDescent="0.3">
      <c r="A63" t="s">
        <v>266</v>
      </c>
      <c r="B63">
        <v>0.61</v>
      </c>
      <c r="C63">
        <v>1100000</v>
      </c>
      <c r="D63">
        <v>0.61</v>
      </c>
      <c r="E63">
        <v>1100000</v>
      </c>
      <c r="F63">
        <v>0.6</v>
      </c>
      <c r="G63">
        <v>1100000</v>
      </c>
      <c r="H63">
        <f t="shared" si="2"/>
        <v>0</v>
      </c>
      <c r="I63" s="7">
        <f t="shared" si="3"/>
        <v>0</v>
      </c>
    </row>
    <row r="64" spans="1:9" x14ac:dyDescent="0.3">
      <c r="A64" t="s">
        <v>265</v>
      </c>
      <c r="B64">
        <v>0.61</v>
      </c>
      <c r="C64">
        <v>550000</v>
      </c>
      <c r="D64">
        <v>0.56999999999999995</v>
      </c>
      <c r="E64">
        <v>550000</v>
      </c>
      <c r="F64">
        <v>0.59</v>
      </c>
      <c r="G64">
        <v>550000</v>
      </c>
      <c r="H64">
        <f t="shared" si="2"/>
        <v>0</v>
      </c>
      <c r="I64" s="7">
        <f t="shared" si="3"/>
        <v>0</v>
      </c>
    </row>
    <row r="65" spans="1:9" x14ac:dyDescent="0.3">
      <c r="A65" t="s">
        <v>264</v>
      </c>
      <c r="B65">
        <v>0.56999999999999995</v>
      </c>
      <c r="C65">
        <v>3039148</v>
      </c>
      <c r="D65">
        <v>0.44</v>
      </c>
      <c r="E65">
        <v>2170983</v>
      </c>
      <c r="F65">
        <v>0.44</v>
      </c>
      <c r="G65">
        <v>2170983</v>
      </c>
      <c r="H65">
        <f t="shared" si="2"/>
        <v>0</v>
      </c>
      <c r="I65" s="7">
        <f t="shared" si="3"/>
        <v>0</v>
      </c>
    </row>
    <row r="66" spans="1:9" x14ac:dyDescent="0.3">
      <c r="A66" t="s">
        <v>263</v>
      </c>
      <c r="B66">
        <v>0.56999999999999995</v>
      </c>
      <c r="C66">
        <v>14500000</v>
      </c>
      <c r="D66">
        <v>0.5</v>
      </c>
      <c r="E66">
        <v>14500000</v>
      </c>
      <c r="F66">
        <v>0.51</v>
      </c>
      <c r="G66">
        <v>14500000</v>
      </c>
      <c r="H66">
        <f t="shared" si="2"/>
        <v>0</v>
      </c>
      <c r="I66" s="7">
        <f t="shared" si="3"/>
        <v>0</v>
      </c>
    </row>
    <row r="67" spans="1:9" x14ac:dyDescent="0.3">
      <c r="A67" t="s">
        <v>262</v>
      </c>
      <c r="B67">
        <v>0.49</v>
      </c>
      <c r="C67">
        <v>60000</v>
      </c>
      <c r="D67">
        <v>0.5</v>
      </c>
      <c r="E67">
        <v>60000</v>
      </c>
      <c r="F67">
        <v>0.5</v>
      </c>
      <c r="G67">
        <v>60000</v>
      </c>
      <c r="H67">
        <f t="shared" ref="H67:H98" si="4">E67-G67</f>
        <v>0</v>
      </c>
      <c r="I67" s="7">
        <f t="shared" ref="I67:I102" si="5">E67/G67-1</f>
        <v>0</v>
      </c>
    </row>
    <row r="68" spans="1:9" x14ac:dyDescent="0.3">
      <c r="A68" t="s">
        <v>261</v>
      </c>
      <c r="B68">
        <v>0.49</v>
      </c>
      <c r="C68">
        <v>17700000</v>
      </c>
      <c r="D68">
        <v>0.57999999999999996</v>
      </c>
      <c r="E68">
        <v>16604941</v>
      </c>
      <c r="F68">
        <v>0.54</v>
      </c>
      <c r="G68">
        <v>16604941</v>
      </c>
      <c r="H68">
        <f t="shared" si="4"/>
        <v>0</v>
      </c>
      <c r="I68" s="7">
        <f t="shared" si="5"/>
        <v>0</v>
      </c>
    </row>
    <row r="69" spans="1:9" x14ac:dyDescent="0.3">
      <c r="A69" t="s">
        <v>260</v>
      </c>
      <c r="B69">
        <v>0.46</v>
      </c>
      <c r="C69">
        <v>646271</v>
      </c>
      <c r="D69">
        <v>0.46</v>
      </c>
      <c r="E69">
        <v>646271</v>
      </c>
      <c r="F69">
        <v>0.48</v>
      </c>
      <c r="G69">
        <v>646271</v>
      </c>
      <c r="H69">
        <f t="shared" si="4"/>
        <v>0</v>
      </c>
      <c r="I69" s="7">
        <f t="shared" si="5"/>
        <v>0</v>
      </c>
    </row>
    <row r="70" spans="1:9" x14ac:dyDescent="0.3">
      <c r="A70" t="s">
        <v>259</v>
      </c>
      <c r="B70">
        <v>0.46</v>
      </c>
      <c r="C70">
        <v>1307508</v>
      </c>
      <c r="D70">
        <v>0.47</v>
      </c>
      <c r="E70">
        <v>1307508</v>
      </c>
      <c r="F70">
        <v>0.52</v>
      </c>
      <c r="G70">
        <v>1307508</v>
      </c>
      <c r="H70">
        <f t="shared" si="4"/>
        <v>0</v>
      </c>
      <c r="I70" s="7">
        <f t="shared" si="5"/>
        <v>0</v>
      </c>
    </row>
    <row r="71" spans="1:9" x14ac:dyDescent="0.3">
      <c r="A71" t="s">
        <v>258</v>
      </c>
      <c r="B71">
        <v>0.44</v>
      </c>
      <c r="C71">
        <v>22526073</v>
      </c>
      <c r="D71">
        <v>0.44</v>
      </c>
      <c r="E71">
        <v>22526073</v>
      </c>
      <c r="F71">
        <v>0.4</v>
      </c>
      <c r="G71">
        <v>22526073</v>
      </c>
      <c r="H71">
        <f t="shared" si="4"/>
        <v>0</v>
      </c>
      <c r="I71" s="7">
        <f t="shared" si="5"/>
        <v>0</v>
      </c>
    </row>
    <row r="72" spans="1:9" x14ac:dyDescent="0.3">
      <c r="A72" t="s">
        <v>257</v>
      </c>
      <c r="B72">
        <v>0.44</v>
      </c>
      <c r="C72">
        <v>605000</v>
      </c>
      <c r="D72">
        <v>0.53</v>
      </c>
      <c r="E72">
        <v>605000</v>
      </c>
      <c r="F72">
        <v>0.49</v>
      </c>
      <c r="G72">
        <v>605000</v>
      </c>
      <c r="H72">
        <f t="shared" si="4"/>
        <v>0</v>
      </c>
      <c r="I72" s="7">
        <f t="shared" si="5"/>
        <v>0</v>
      </c>
    </row>
    <row r="73" spans="1:9" x14ac:dyDescent="0.3">
      <c r="A73" t="s">
        <v>256</v>
      </c>
      <c r="B73">
        <v>0.43</v>
      </c>
      <c r="C73">
        <v>745047</v>
      </c>
      <c r="D73">
        <v>0.45</v>
      </c>
      <c r="E73">
        <v>745047</v>
      </c>
      <c r="F73">
        <v>0.44</v>
      </c>
      <c r="G73">
        <v>745047</v>
      </c>
      <c r="H73">
        <f t="shared" si="4"/>
        <v>0</v>
      </c>
      <c r="I73" s="7">
        <f t="shared" si="5"/>
        <v>0</v>
      </c>
    </row>
    <row r="74" spans="1:9" x14ac:dyDescent="0.3">
      <c r="A74" t="s">
        <v>255</v>
      </c>
      <c r="B74">
        <v>0.42</v>
      </c>
      <c r="C74">
        <v>614119</v>
      </c>
      <c r="D74">
        <v>0.48</v>
      </c>
      <c r="E74">
        <v>614119</v>
      </c>
      <c r="F74">
        <v>0.47</v>
      </c>
      <c r="G74">
        <v>614119</v>
      </c>
      <c r="H74">
        <f t="shared" si="4"/>
        <v>0</v>
      </c>
      <c r="I74" s="7">
        <f t="shared" si="5"/>
        <v>0</v>
      </c>
    </row>
    <row r="75" spans="1:9" x14ac:dyDescent="0.3">
      <c r="A75" t="s">
        <v>254</v>
      </c>
      <c r="B75">
        <v>0.4</v>
      </c>
      <c r="C75">
        <v>302470</v>
      </c>
      <c r="D75">
        <v>0.4</v>
      </c>
      <c r="E75">
        <v>302470</v>
      </c>
      <c r="F75">
        <v>0.41</v>
      </c>
      <c r="G75">
        <v>302470</v>
      </c>
      <c r="H75">
        <f t="shared" si="4"/>
        <v>0</v>
      </c>
      <c r="I75" s="7">
        <f t="shared" si="5"/>
        <v>0</v>
      </c>
    </row>
    <row r="76" spans="1:9" x14ac:dyDescent="0.3">
      <c r="A76" t="s">
        <v>253</v>
      </c>
      <c r="B76">
        <v>0.4</v>
      </c>
      <c r="C76">
        <v>567479</v>
      </c>
      <c r="D76">
        <v>0.33</v>
      </c>
      <c r="E76">
        <v>567479</v>
      </c>
      <c r="F76">
        <v>0.34</v>
      </c>
      <c r="G76">
        <v>567479</v>
      </c>
      <c r="H76">
        <f t="shared" si="4"/>
        <v>0</v>
      </c>
      <c r="I76" s="7">
        <f t="shared" si="5"/>
        <v>0</v>
      </c>
    </row>
    <row r="77" spans="1:9" x14ac:dyDescent="0.3">
      <c r="A77" t="s">
        <v>252</v>
      </c>
      <c r="B77">
        <v>0.39</v>
      </c>
      <c r="C77">
        <v>1900000</v>
      </c>
      <c r="D77">
        <v>0.43</v>
      </c>
      <c r="E77">
        <v>1900000</v>
      </c>
      <c r="F77">
        <v>0.45</v>
      </c>
      <c r="G77">
        <v>1900000</v>
      </c>
      <c r="H77">
        <f t="shared" si="4"/>
        <v>0</v>
      </c>
      <c r="I77" s="7">
        <f t="shared" si="5"/>
        <v>0</v>
      </c>
    </row>
    <row r="78" spans="1:9" x14ac:dyDescent="0.3">
      <c r="A78" t="s">
        <v>251</v>
      </c>
      <c r="B78">
        <v>0.37</v>
      </c>
      <c r="C78">
        <v>1602366</v>
      </c>
      <c r="D78">
        <v>0.35</v>
      </c>
      <c r="E78">
        <v>1597598</v>
      </c>
      <c r="F78">
        <v>0.36</v>
      </c>
      <c r="G78">
        <v>1597598</v>
      </c>
      <c r="H78">
        <f t="shared" si="4"/>
        <v>0</v>
      </c>
      <c r="I78" s="7">
        <f t="shared" si="5"/>
        <v>0</v>
      </c>
    </row>
    <row r="79" spans="1:9" x14ac:dyDescent="0.3">
      <c r="A79" t="s">
        <v>250</v>
      </c>
      <c r="B79">
        <v>0.37</v>
      </c>
      <c r="C79">
        <v>1700000</v>
      </c>
      <c r="D79">
        <v>0.35</v>
      </c>
      <c r="E79">
        <v>1700000</v>
      </c>
      <c r="F79">
        <v>0.35</v>
      </c>
      <c r="G79">
        <v>1700000</v>
      </c>
      <c r="H79">
        <f t="shared" si="4"/>
        <v>0</v>
      </c>
      <c r="I79" s="7">
        <f t="shared" si="5"/>
        <v>0</v>
      </c>
    </row>
    <row r="80" spans="1:9" x14ac:dyDescent="0.3">
      <c r="A80" t="s">
        <v>249</v>
      </c>
      <c r="B80">
        <v>0.34</v>
      </c>
      <c r="C80">
        <v>330358</v>
      </c>
      <c r="D80">
        <v>0.35</v>
      </c>
      <c r="E80">
        <v>330181</v>
      </c>
      <c r="F80">
        <v>0.37</v>
      </c>
      <c r="G80">
        <v>330181</v>
      </c>
      <c r="H80">
        <f t="shared" si="4"/>
        <v>0</v>
      </c>
      <c r="I80" s="7">
        <f t="shared" si="5"/>
        <v>0</v>
      </c>
    </row>
    <row r="81" spans="1:9" x14ac:dyDescent="0.3">
      <c r="A81" t="s">
        <v>248</v>
      </c>
      <c r="B81">
        <v>0.32</v>
      </c>
      <c r="C81">
        <v>559000</v>
      </c>
      <c r="D81">
        <v>0.33</v>
      </c>
      <c r="E81">
        <v>559000</v>
      </c>
      <c r="F81">
        <v>0.34</v>
      </c>
      <c r="G81">
        <v>559000</v>
      </c>
      <c r="H81">
        <f t="shared" si="4"/>
        <v>0</v>
      </c>
      <c r="I81" s="7">
        <f t="shared" si="5"/>
        <v>0</v>
      </c>
    </row>
    <row r="82" spans="1:9" x14ac:dyDescent="0.3">
      <c r="A82" t="s">
        <v>247</v>
      </c>
      <c r="B82">
        <v>0.32</v>
      </c>
      <c r="C82">
        <v>303512</v>
      </c>
      <c r="D82">
        <v>0.33</v>
      </c>
      <c r="E82">
        <v>303512</v>
      </c>
      <c r="F82">
        <v>0.34</v>
      </c>
      <c r="G82">
        <v>303512</v>
      </c>
      <c r="H82">
        <f t="shared" si="4"/>
        <v>0</v>
      </c>
      <c r="I82" s="7">
        <f t="shared" si="5"/>
        <v>0</v>
      </c>
    </row>
    <row r="83" spans="1:9" x14ac:dyDescent="0.3">
      <c r="A83" t="s">
        <v>246</v>
      </c>
      <c r="B83">
        <v>0.32</v>
      </c>
      <c r="C83">
        <v>6000000</v>
      </c>
      <c r="D83">
        <v>0.36</v>
      </c>
      <c r="E83">
        <v>6000000</v>
      </c>
      <c r="F83">
        <v>0.38</v>
      </c>
      <c r="G83">
        <v>6000000</v>
      </c>
      <c r="H83">
        <f t="shared" si="4"/>
        <v>0</v>
      </c>
      <c r="I83" s="7">
        <f t="shared" si="5"/>
        <v>0</v>
      </c>
    </row>
    <row r="84" spans="1:9" x14ac:dyDescent="0.3">
      <c r="A84" t="s">
        <v>245</v>
      </c>
      <c r="B84">
        <v>0.28999999999999998</v>
      </c>
      <c r="C84">
        <v>6904530</v>
      </c>
      <c r="D84">
        <v>0.32</v>
      </c>
      <c r="E84">
        <v>6904530</v>
      </c>
      <c r="F84">
        <v>0.33</v>
      </c>
      <c r="G84">
        <v>6904530</v>
      </c>
      <c r="H84">
        <f t="shared" si="4"/>
        <v>0</v>
      </c>
      <c r="I84" s="7">
        <f t="shared" si="5"/>
        <v>0</v>
      </c>
    </row>
    <row r="85" spans="1:9" x14ac:dyDescent="0.3">
      <c r="A85" t="s">
        <v>244</v>
      </c>
      <c r="B85">
        <v>0.23</v>
      </c>
      <c r="C85">
        <v>593778</v>
      </c>
      <c r="D85">
        <v>0.24</v>
      </c>
      <c r="E85">
        <v>593778</v>
      </c>
      <c r="F85">
        <v>0.22</v>
      </c>
      <c r="G85">
        <v>593778</v>
      </c>
      <c r="H85">
        <f t="shared" si="4"/>
        <v>0</v>
      </c>
      <c r="I85" s="7">
        <f t="shared" si="5"/>
        <v>0</v>
      </c>
    </row>
    <row r="86" spans="1:9" x14ac:dyDescent="0.3">
      <c r="A86" t="s">
        <v>243</v>
      </c>
      <c r="B86">
        <v>0.23</v>
      </c>
      <c r="C86">
        <v>15081195</v>
      </c>
      <c r="D86">
        <v>0.23</v>
      </c>
      <c r="E86">
        <v>15081195</v>
      </c>
      <c r="F86">
        <v>0.22</v>
      </c>
      <c r="G86">
        <v>15081195</v>
      </c>
      <c r="H86">
        <f t="shared" si="4"/>
        <v>0</v>
      </c>
      <c r="I86" s="7">
        <f t="shared" si="5"/>
        <v>0</v>
      </c>
    </row>
    <row r="87" spans="1:9" x14ac:dyDescent="0.3">
      <c r="A87" t="s">
        <v>242</v>
      </c>
      <c r="B87">
        <v>0.22</v>
      </c>
      <c r="C87">
        <v>590000</v>
      </c>
      <c r="D87">
        <v>0.26</v>
      </c>
      <c r="E87">
        <v>590000</v>
      </c>
      <c r="F87">
        <v>0.25</v>
      </c>
      <c r="G87">
        <v>590000</v>
      </c>
      <c r="H87">
        <f t="shared" si="4"/>
        <v>0</v>
      </c>
      <c r="I87" s="7">
        <f t="shared" si="5"/>
        <v>0</v>
      </c>
    </row>
    <row r="88" spans="1:9" x14ac:dyDescent="0.3">
      <c r="A88" t="s">
        <v>241</v>
      </c>
      <c r="B88">
        <v>0.22</v>
      </c>
      <c r="C88">
        <v>226766</v>
      </c>
      <c r="D88">
        <v>0.22</v>
      </c>
      <c r="E88">
        <v>226766</v>
      </c>
      <c r="F88">
        <v>0.24</v>
      </c>
      <c r="G88">
        <v>226766</v>
      </c>
      <c r="H88">
        <f t="shared" si="4"/>
        <v>0</v>
      </c>
      <c r="I88" s="7">
        <f t="shared" si="5"/>
        <v>0</v>
      </c>
    </row>
    <row r="89" spans="1:9" x14ac:dyDescent="0.3">
      <c r="A89" t="s">
        <v>240</v>
      </c>
      <c r="B89">
        <v>0.17</v>
      </c>
      <c r="C89">
        <v>87052</v>
      </c>
      <c r="D89">
        <v>0.17</v>
      </c>
      <c r="E89">
        <v>87052</v>
      </c>
      <c r="F89">
        <v>0.19</v>
      </c>
      <c r="G89">
        <v>87052</v>
      </c>
      <c r="H89">
        <f t="shared" si="4"/>
        <v>0</v>
      </c>
      <c r="I89" s="7">
        <f t="shared" si="5"/>
        <v>0</v>
      </c>
    </row>
    <row r="90" spans="1:9" x14ac:dyDescent="0.3">
      <c r="A90" t="s">
        <v>239</v>
      </c>
      <c r="B90">
        <v>0</v>
      </c>
      <c r="C90">
        <v>20000</v>
      </c>
      <c r="D90">
        <v>0</v>
      </c>
      <c r="E90">
        <v>20000</v>
      </c>
      <c r="F90">
        <v>0</v>
      </c>
      <c r="G90">
        <v>20000</v>
      </c>
      <c r="H90">
        <f t="shared" si="4"/>
        <v>0</v>
      </c>
      <c r="I90" s="7">
        <f t="shared" si="5"/>
        <v>0</v>
      </c>
    </row>
    <row r="91" spans="1:9" x14ac:dyDescent="0.3">
      <c r="A91" t="s">
        <v>238</v>
      </c>
      <c r="B91">
        <v>1.49</v>
      </c>
      <c r="C91">
        <v>1923797</v>
      </c>
      <c r="D91">
        <v>1.43</v>
      </c>
      <c r="E91">
        <v>1923797</v>
      </c>
      <c r="F91">
        <v>1.31</v>
      </c>
      <c r="G91">
        <v>1910000</v>
      </c>
      <c r="H91">
        <f t="shared" si="4"/>
        <v>13797</v>
      </c>
      <c r="I91" s="7">
        <f t="shared" si="5"/>
        <v>7.2235602094241624E-3</v>
      </c>
    </row>
    <row r="92" spans="1:9" x14ac:dyDescent="0.3">
      <c r="A92" t="s">
        <v>214</v>
      </c>
      <c r="B92">
        <v>1.41</v>
      </c>
      <c r="C92">
        <v>52000000</v>
      </c>
      <c r="D92">
        <v>1.48</v>
      </c>
      <c r="E92">
        <v>52000000</v>
      </c>
      <c r="F92">
        <v>1.41</v>
      </c>
      <c r="G92">
        <v>51000000</v>
      </c>
      <c r="H92">
        <f t="shared" si="4"/>
        <v>1000000</v>
      </c>
      <c r="I92" s="7">
        <f t="shared" si="5"/>
        <v>1.9607843137254832E-2</v>
      </c>
    </row>
    <row r="93" spans="1:9" x14ac:dyDescent="0.3">
      <c r="A93" t="s">
        <v>213</v>
      </c>
      <c r="B93">
        <v>1.31</v>
      </c>
      <c r="C93">
        <v>4379175</v>
      </c>
      <c r="D93">
        <v>1.39</v>
      </c>
      <c r="E93">
        <v>4379175</v>
      </c>
      <c r="F93">
        <v>1.33</v>
      </c>
      <c r="G93">
        <v>4200000</v>
      </c>
      <c r="H93">
        <f t="shared" si="4"/>
        <v>179175</v>
      </c>
      <c r="I93" s="7">
        <f t="shared" si="5"/>
        <v>4.2660714285714274E-2</v>
      </c>
    </row>
    <row r="94" spans="1:9" x14ac:dyDescent="0.3">
      <c r="A94" t="s">
        <v>212</v>
      </c>
      <c r="B94">
        <v>1.92</v>
      </c>
      <c r="C94">
        <v>21102514</v>
      </c>
      <c r="D94">
        <v>1.74</v>
      </c>
      <c r="E94">
        <v>20578897</v>
      </c>
      <c r="F94">
        <v>1.66</v>
      </c>
      <c r="G94">
        <v>19200000</v>
      </c>
      <c r="H94">
        <f t="shared" si="4"/>
        <v>1378897</v>
      </c>
      <c r="I94" s="7">
        <f t="shared" si="5"/>
        <v>7.1817552083333291E-2</v>
      </c>
    </row>
    <row r="95" spans="1:9" x14ac:dyDescent="0.3">
      <c r="A95" t="s">
        <v>211</v>
      </c>
      <c r="B95">
        <v>1.23</v>
      </c>
      <c r="C95">
        <v>970778</v>
      </c>
      <c r="D95">
        <v>1.02</v>
      </c>
      <c r="E95">
        <v>817234</v>
      </c>
      <c r="F95">
        <v>0.83</v>
      </c>
      <c r="G95">
        <v>734257</v>
      </c>
      <c r="H95">
        <f t="shared" si="4"/>
        <v>82977</v>
      </c>
      <c r="I95" s="7">
        <f t="shared" si="5"/>
        <v>0.11300811568701419</v>
      </c>
    </row>
    <row r="96" spans="1:9" x14ac:dyDescent="0.3">
      <c r="A96" t="s">
        <v>210</v>
      </c>
      <c r="B96">
        <v>1.51</v>
      </c>
      <c r="C96">
        <v>73300000</v>
      </c>
      <c r="D96">
        <v>1.54</v>
      </c>
      <c r="E96">
        <v>68700000</v>
      </c>
      <c r="F96">
        <v>1.35</v>
      </c>
      <c r="G96">
        <v>59970972</v>
      </c>
      <c r="H96">
        <f t="shared" si="4"/>
        <v>8729028</v>
      </c>
      <c r="I96" s="7">
        <f t="shared" si="5"/>
        <v>0.14555421913121558</v>
      </c>
    </row>
    <row r="97" spans="1:9" x14ac:dyDescent="0.3">
      <c r="A97" t="s">
        <v>209</v>
      </c>
      <c r="B97">
        <v>0.66</v>
      </c>
      <c r="C97">
        <v>1300000</v>
      </c>
      <c r="D97">
        <v>0.64</v>
      </c>
      <c r="E97">
        <v>1300000</v>
      </c>
      <c r="F97">
        <v>0.56999999999999995</v>
      </c>
      <c r="G97">
        <v>1100000</v>
      </c>
      <c r="H97">
        <f t="shared" si="4"/>
        <v>200000</v>
      </c>
      <c r="I97" s="7">
        <f t="shared" si="5"/>
        <v>0.18181818181818188</v>
      </c>
    </row>
    <row r="98" spans="1:9" x14ac:dyDescent="0.3">
      <c r="A98" t="s">
        <v>237</v>
      </c>
      <c r="B98">
        <v>0.88</v>
      </c>
      <c r="C98">
        <v>2703508</v>
      </c>
      <c r="D98" t="s">
        <v>178</v>
      </c>
      <c r="E98" t="s">
        <v>178</v>
      </c>
      <c r="F98" t="s">
        <v>178</v>
      </c>
      <c r="G98" t="s">
        <v>178</v>
      </c>
      <c r="H98" t="e">
        <f t="shared" si="4"/>
        <v>#VALUE!</v>
      </c>
      <c r="I98" s="7" t="e">
        <f t="shared" si="5"/>
        <v>#VALUE!</v>
      </c>
    </row>
    <row r="99" spans="1:9" x14ac:dyDescent="0.3">
      <c r="A99" t="s">
        <v>236</v>
      </c>
      <c r="B99">
        <v>0.61</v>
      </c>
      <c r="C99">
        <v>14000000</v>
      </c>
      <c r="D99">
        <v>0.66</v>
      </c>
      <c r="E99">
        <v>14000000</v>
      </c>
      <c r="F99" t="s">
        <v>178</v>
      </c>
      <c r="G99" t="s">
        <v>178</v>
      </c>
      <c r="H99" t="e">
        <f t="shared" ref="H99:H130" si="6">E99-G99</f>
        <v>#VALUE!</v>
      </c>
      <c r="I99" s="7" t="e">
        <f t="shared" si="5"/>
        <v>#VALUE!</v>
      </c>
    </row>
    <row r="100" spans="1:9" x14ac:dyDescent="0.3">
      <c r="A100" t="s">
        <v>235</v>
      </c>
      <c r="B100">
        <v>0.52</v>
      </c>
      <c r="C100">
        <v>7000000</v>
      </c>
      <c r="D100" t="s">
        <v>178</v>
      </c>
      <c r="E100" t="s">
        <v>178</v>
      </c>
      <c r="F100">
        <v>0.32</v>
      </c>
      <c r="G100">
        <v>3588516</v>
      </c>
      <c r="H100" t="e">
        <f t="shared" si="6"/>
        <v>#VALUE!</v>
      </c>
      <c r="I100" s="7" t="e">
        <f t="shared" si="5"/>
        <v>#VALUE!</v>
      </c>
    </row>
    <row r="101" spans="1:9" x14ac:dyDescent="0.3">
      <c r="A101" t="s">
        <v>234</v>
      </c>
      <c r="B101">
        <v>0.08</v>
      </c>
      <c r="C101">
        <v>117766</v>
      </c>
      <c r="D101">
        <v>7.0000000000000007E-2</v>
      </c>
      <c r="E101">
        <v>117766</v>
      </c>
      <c r="F101" t="s">
        <v>178</v>
      </c>
      <c r="G101" t="s">
        <v>178</v>
      </c>
      <c r="H101" t="e">
        <f t="shared" si="6"/>
        <v>#VALUE!</v>
      </c>
      <c r="I101" s="7" t="e">
        <f t="shared" si="5"/>
        <v>#VALUE!</v>
      </c>
    </row>
    <row r="102" spans="1:9" x14ac:dyDescent="0.3">
      <c r="A102" t="s">
        <v>233</v>
      </c>
      <c r="B102" t="s">
        <v>178</v>
      </c>
      <c r="C102" t="s">
        <v>178</v>
      </c>
      <c r="D102" t="s">
        <v>178</v>
      </c>
      <c r="E102" t="s">
        <v>178</v>
      </c>
      <c r="F102">
        <v>0.36</v>
      </c>
      <c r="G102">
        <v>2987915</v>
      </c>
      <c r="H102" t="e">
        <f t="shared" si="6"/>
        <v>#VALUE!</v>
      </c>
      <c r="I102" s="7" t="e">
        <f t="shared" si="5"/>
        <v>#VALUE!</v>
      </c>
    </row>
    <row r="103" spans="1:9" x14ac:dyDescent="0.3">
      <c r="A103" t="s">
        <v>37</v>
      </c>
      <c r="B103" t="s">
        <v>232</v>
      </c>
      <c r="D103" t="s">
        <v>231</v>
      </c>
      <c r="F103" t="s">
        <v>230</v>
      </c>
    </row>
    <row r="104" spans="1:9" x14ac:dyDescent="0.3">
      <c r="B104" t="s">
        <v>229</v>
      </c>
      <c r="C104" t="s">
        <v>228</v>
      </c>
      <c r="D104" t="s">
        <v>229</v>
      </c>
      <c r="E104" t="s">
        <v>228</v>
      </c>
      <c r="F104" t="s">
        <v>229</v>
      </c>
      <c r="G104" t="s">
        <v>228</v>
      </c>
      <c r="H104" t="s">
        <v>227</v>
      </c>
    </row>
  </sheetData>
  <autoFilter ref="I2:I104" xr:uid="{572C3EC7-9243-4D3F-AF65-319F3B98E1FC}">
    <sortState xmlns:xlrd2="http://schemas.microsoft.com/office/spreadsheetml/2017/richdata2" ref="A3:I104">
      <sortCondition ref="I2:I104"/>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MF_Analysis</vt:lpstr>
      <vt:lpstr>Data&gt;</vt:lpstr>
      <vt:lpstr>Portfolio</vt:lpstr>
      <vt:lpstr>sector </vt:lpstr>
      <vt:lpstr>Sheet2</vt:lpstr>
      <vt:lpstr>Nippon_India_Growth_Mid_Cap_Fun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waqar ahmad</dc:creator>
  <cp:lastModifiedBy>waqar ahmad</cp:lastModifiedBy>
  <cp:lastPrinted>2026-02-14T09:04:58Z</cp:lastPrinted>
  <dcterms:created xsi:type="dcterms:W3CDTF">2025-12-17T14:10:42Z</dcterms:created>
  <dcterms:modified xsi:type="dcterms:W3CDTF">2026-02-15T07:01:18Z</dcterms:modified>
</cp:coreProperties>
</file>